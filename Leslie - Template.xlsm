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51195" windowHeight="28800" activeTab="2"/>
  </bookViews>
  <sheets>
    <sheet name="1. Posting Steps" sheetId="2" r:id="rId1"/>
    <sheet name="Chart1" sheetId="5" r:id="rId2"/>
    <sheet name="2. Template" sheetId="4" r:id="rId3"/>
    <sheet name="Daten" sheetId="3" state="hidden" r:id="rId4"/>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9" i="4" l="1"/>
  <c r="H20" i="4"/>
  <c r="H21" i="4"/>
  <c r="H22" i="4"/>
  <c r="H23" i="4"/>
  <c r="H24" i="4"/>
  <c r="H25" i="4"/>
  <c r="H26" i="4"/>
  <c r="H27" i="4"/>
  <c r="H28" i="4"/>
  <c r="H29" i="4"/>
  <c r="H30" i="4"/>
  <c r="H36" i="4"/>
  <c r="I36" i="4" s="1"/>
  <c r="H51" i="4"/>
  <c r="I51" i="4" s="1"/>
  <c r="H55" i="4"/>
  <c r="I55" i="4" s="1"/>
  <c r="I30" i="4"/>
  <c r="H59" i="4"/>
  <c r="I59" i="4" s="1"/>
  <c r="B3" i="4"/>
  <c r="I27" i="4" l="1"/>
  <c r="H42" i="4"/>
  <c r="I42" i="4" s="1"/>
  <c r="H46" i="4"/>
  <c r="I46" i="4" s="1"/>
  <c r="H33" i="4"/>
  <c r="I33" i="4" s="1"/>
  <c r="H48" i="4"/>
  <c r="I48" i="4" s="1"/>
  <c r="I20" i="4"/>
  <c r="H43" i="4"/>
  <c r="I43" i="4" s="1"/>
  <c r="J42" i="4" s="1"/>
  <c r="H49" i="4"/>
  <c r="I49" i="4" s="1"/>
  <c r="J48" i="4" s="1"/>
  <c r="H58" i="4"/>
  <c r="I58" i="4" s="1"/>
  <c r="J58" i="4" s="1"/>
  <c r="H52" i="4"/>
  <c r="I52" i="4" s="1"/>
  <c r="J51" i="4" s="1"/>
  <c r="I21" i="4"/>
  <c r="I24" i="4"/>
  <c r="H31" i="4"/>
  <c r="I31" i="4" s="1"/>
  <c r="H34" i="4"/>
  <c r="I34" i="4" s="1"/>
  <c r="H37" i="4"/>
  <c r="I37" i="4" s="1"/>
  <c r="J36" i="4" s="1"/>
  <c r="H40" i="4"/>
  <c r="I40" i="4" s="1"/>
  <c r="H47" i="4"/>
  <c r="I47" i="4" s="1"/>
  <c r="J47" i="4" s="1"/>
  <c r="H50" i="4"/>
  <c r="I50" i="4" s="1"/>
  <c r="J50" i="4" s="1"/>
  <c r="H53" i="4"/>
  <c r="I53" i="4" s="1"/>
  <c r="H56" i="4"/>
  <c r="I56" i="4" s="1"/>
  <c r="J55" i="4" s="1"/>
  <c r="H60" i="4"/>
  <c r="I60" i="4" s="1"/>
  <c r="J60" i="4" s="1"/>
  <c r="I22" i="4"/>
  <c r="I25" i="4"/>
  <c r="I28" i="4"/>
  <c r="J27" i="4" s="1"/>
  <c r="H35" i="4"/>
  <c r="I35" i="4" s="1"/>
  <c r="J35" i="4" s="1"/>
  <c r="H38" i="4"/>
  <c r="I38" i="4" s="1"/>
  <c r="H41" i="4"/>
  <c r="I41" i="4" s="1"/>
  <c r="J41" i="4" s="1"/>
  <c r="H44" i="4"/>
  <c r="I44" i="4" s="1"/>
  <c r="H54" i="4"/>
  <c r="I54" i="4" s="1"/>
  <c r="J54" i="4" s="1"/>
  <c r="H57" i="4"/>
  <c r="I57" i="4" s="1"/>
  <c r="J57" i="4" s="1"/>
  <c r="I19" i="4"/>
  <c r="I23" i="4"/>
  <c r="J23" i="4" s="1"/>
  <c r="I26" i="4"/>
  <c r="J26" i="4" s="1"/>
  <c r="I29" i="4"/>
  <c r="J29" i="4" s="1"/>
  <c r="H32" i="4"/>
  <c r="I32" i="4" s="1"/>
  <c r="H39" i="4"/>
  <c r="I39" i="4" s="1"/>
  <c r="J39" i="4" s="1"/>
  <c r="H45" i="4"/>
  <c r="I45" i="4" s="1"/>
  <c r="J45" i="4" s="1"/>
  <c r="J19" i="4" l="1"/>
  <c r="J32" i="4"/>
  <c r="J33" i="4"/>
  <c r="J43" i="4"/>
  <c r="J37" i="4"/>
  <c r="J56" i="4"/>
  <c r="J49" i="4"/>
  <c r="J59" i="4"/>
  <c r="J46" i="4"/>
  <c r="J53" i="4"/>
  <c r="J21" i="4"/>
  <c r="J25" i="4"/>
  <c r="J38" i="4"/>
  <c r="J22" i="4"/>
  <c r="J20" i="4"/>
  <c r="J34" i="4"/>
  <c r="J52" i="4"/>
  <c r="J31" i="4"/>
  <c r="J30" i="4"/>
  <c r="J24" i="4"/>
  <c r="J40" i="4"/>
  <c r="J44" i="4"/>
  <c r="J28" i="4"/>
  <c r="E21" i="2" l="1"/>
  <c r="K46" i="2" l="1"/>
  <c r="R46" i="2" s="1"/>
  <c r="K38" i="2"/>
  <c r="R38" i="2" s="1"/>
  <c r="K30" i="2"/>
  <c r="R30" i="2" s="1"/>
  <c r="E23" i="2"/>
  <c r="L47" i="2" s="1"/>
  <c r="N47" i="2" s="1"/>
  <c r="E22" i="2"/>
  <c r="L31" i="2" s="1"/>
  <c r="L39" i="2" l="1"/>
  <c r="N39" i="2" s="1"/>
  <c r="E29" i="2"/>
  <c r="N31" i="2"/>
  <c r="F48" i="2" l="1"/>
  <c r="H48" i="2" s="1"/>
  <c r="F32" i="2"/>
  <c r="F40" i="2"/>
  <c r="H40" i="2" s="1"/>
  <c r="H32" i="2" l="1"/>
  <c r="L29" i="2"/>
  <c r="A3" i="4"/>
</calcChain>
</file>

<file path=xl/sharedStrings.xml><?xml version="1.0" encoding="utf-8"?>
<sst xmlns="http://schemas.openxmlformats.org/spreadsheetml/2006/main" count="216" uniqueCount="93">
  <si>
    <t>Einmalig</t>
  </si>
  <si>
    <t>Gering</t>
  </si>
  <si>
    <t>Einmalzahlung</t>
  </si>
  <si>
    <t>Abo</t>
  </si>
  <si>
    <t>Monatliche Zahlung</t>
  </si>
  <si>
    <t>&lt; 100 Verträge</t>
  </si>
  <si>
    <t>&lt; 1000 Verträge</t>
  </si>
  <si>
    <t>Wartungsgebühr</t>
  </si>
  <si>
    <t>Implementierung</t>
  </si>
  <si>
    <t>Mittel</t>
  </si>
  <si>
    <t>Hoch</t>
  </si>
  <si>
    <t>&gt;= 5000 Verträge</t>
  </si>
  <si>
    <t>&gt; 5000 Verträge</t>
  </si>
  <si>
    <t>Pro Vertrag Verträge 1-500</t>
  </si>
  <si>
    <t>Pro Vertrag ab dem 500. Vertrag</t>
  </si>
  <si>
    <t>Name</t>
  </si>
  <si>
    <t>Check</t>
  </si>
  <si>
    <t>Lessee Contract Posting Steps</t>
  </si>
  <si>
    <t>Lease Liability</t>
  </si>
  <si>
    <t>Right of Use Asset</t>
  </si>
  <si>
    <t>Depreciation</t>
  </si>
  <si>
    <t>Right of Use Asset Depreciation</t>
  </si>
  <si>
    <t>Interest Expense</t>
  </si>
  <si>
    <t>Description</t>
  </si>
  <si>
    <t>Posting Steps - Standard Schema</t>
  </si>
  <si>
    <t>Contract data</t>
  </si>
  <si>
    <t>Calculation*</t>
  </si>
  <si>
    <t>Present Value</t>
  </si>
  <si>
    <t>The postings for IFRS 16 usually follow the same pattern, whether it is an office rental, a car lease, or something else.</t>
  </si>
  <si>
    <t>Initial Right of Use Asset and Lease Liability</t>
  </si>
  <si>
    <t>Decrease of the Lease Liability</t>
  </si>
  <si>
    <t>Interest Expense Posting</t>
  </si>
  <si>
    <t>The value of the initial Right of Use Asset is the 'present value' of all lease payments during the contract term. A lease payment is a payment that is directly related with the transfer of the leased asset. Payments that are related to other components like services are not classified as lease payments.</t>
  </si>
  <si>
    <t>The Lease Liability gets decreased based on the payments during the contract term. Value and point in time are based on the payment itself without considering potential accruals.</t>
  </si>
  <si>
    <t>The difference between the sum of all payments and the present value (the initial Lease Liability/Right of Use Asset) is the Interest Expense. The Interest Expense is increasing the Lease Liability each month.</t>
  </si>
  <si>
    <t>The Right of Use Asset is getting depreciated linearly in most cases. Every month has the same depreciation as long as there is no contract modification.</t>
  </si>
  <si>
    <t>Cash or Lease Expense</t>
  </si>
  <si>
    <t>Cash / Lease Expense</t>
  </si>
  <si>
    <t>to</t>
  </si>
  <si>
    <t>Contract inception</t>
  </si>
  <si>
    <t>Per Payment</t>
  </si>
  <si>
    <t>Per Period</t>
  </si>
  <si>
    <t>Posting</t>
  </si>
  <si>
    <t>Debit</t>
  </si>
  <si>
    <t>Credit</t>
  </si>
  <si>
    <t>Posting Step</t>
  </si>
  <si>
    <t>Contract term in years</t>
  </si>
  <si>
    <t>Lease payments per year (prepayment)</t>
  </si>
  <si>
    <t>Discount rate</t>
  </si>
  <si>
    <t>Present Value at the beginning of the first year</t>
  </si>
  <si>
    <t>Present Value at the beginning of the second year</t>
  </si>
  <si>
    <t>Present Value at the beginning of the third year</t>
  </si>
  <si>
    <t>*The used PV formula is usually only suitable for annual present value calculations. 
The next sheet "Template" contains other formulas that are suitable for monthly calculations.</t>
  </si>
  <si>
    <t>Postings in Year 1</t>
  </si>
  <si>
    <t>Postings in Year 2</t>
  </si>
  <si>
    <t>Postings in Year 3</t>
  </si>
  <si>
    <t>1. Right of Use Asset Posting</t>
  </si>
  <si>
    <t xml:space="preserve"> </t>
  </si>
  <si>
    <t>Point in time</t>
  </si>
  <si>
    <t>Example</t>
  </si>
  <si>
    <t>Calculation</t>
  </si>
  <si>
    <t>Lessee contract with monthly payments</t>
  </si>
  <si>
    <t>This spreadsheet is limited to 60 months</t>
  </si>
  <si>
    <t>"Initial Direct Costs" based on the IFRS 16 Standard</t>
  </si>
  <si>
    <t>Start date</t>
  </si>
  <si>
    <t>Contract term in months</t>
  </si>
  <si>
    <t>Down payment for the lease</t>
  </si>
  <si>
    <t>Lease payment per month</t>
  </si>
  <si>
    <t>Lease Liability Decrease</t>
  </si>
  <si>
    <t>Other Expense</t>
  </si>
  <si>
    <t>Month</t>
  </si>
  <si>
    <t>Other payments</t>
  </si>
  <si>
    <t>Lease payments</t>
  </si>
  <si>
    <t>Reduction</t>
  </si>
  <si>
    <t>Balance</t>
  </si>
  <si>
    <t>Date</t>
  </si>
  <si>
    <t>No</t>
  </si>
  <si>
    <t>2. Initial Direct Costs Posting</t>
  </si>
  <si>
    <t>3. Lease Liability Decrease</t>
  </si>
  <si>
    <t>4. Interest Expense Posting</t>
  </si>
  <si>
    <t>5. Posting of non-lease payments (usually not included in the IFRS 16 process)</t>
  </si>
  <si>
    <t>6. Right of Use Asset Depreciation</t>
  </si>
  <si>
    <t>Postings in the first month</t>
  </si>
  <si>
    <t>Postings aggregated per account for all months</t>
  </si>
  <si>
    <t>The value of the initial Right of Use Asset is the 'Present Value' of all lease payments during the contract term.
The IASB has not defined a specific method to calculate the Present Value. We have used the 365-interest method and are able to recalculate the exact values of the official Illustrative Examples. The XNPV Excel formula is using the 365 method.</t>
  </si>
  <si>
    <t>The Lease Liability is always the Present Value of the remaining lease payments, even during the contract term (not just at the start of the contract). We reach this value by performing the payment (Lease Liability Decrease) postings and Interest Expense postings.
Please take a look at the postings below for details.</t>
  </si>
  <si>
    <t>The Right of Use Asset usually has the same value as the Lease Liability at the beginning of the contract. However, there can be components like 'Initial Direct Cost' that can lead to differences.</t>
  </si>
  <si>
    <t>The Right of Use Asset is getting depreciated linearly in most cases. Every month has the same depreciation as long as there is no contract modification. This means that the value of the current Right of Use Asset is different to the value of the current Lease Liability.</t>
  </si>
  <si>
    <t>This Excel template is made for common contracts with linear (pre-)payments. Contract modifications can be different from case to case and are not included in the logic below. Please consider using a self-developed or purchased solution if you want to maintain a larger number of lease contracts.</t>
  </si>
  <si>
    <t>Value</t>
  </si>
  <si>
    <t>LEASE PAYMENT</t>
  </si>
  <si>
    <t>SERVICE PAYMENT</t>
  </si>
  <si>
    <t>ENTER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</si>
</sst>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7" formatCode="&quot;$&quot;#,##0.00_);\(&quot;$&quot;#,##0.00\)"/>
    <numFmt numFmtId="44" formatCode="_(&quot;$&quot;* #,##0.00_);_(&quot;$&quot;* \(#,##0.00\);_(&quot;$&quot;* &quot;-&quot;??_);_(@_)"/>
    <numFmt numFmtId="164" formatCode="#,##0.00\ &quot;€&quot;;[Red]\-#,##0.00\ &quot;€&quot;"/>
    <numFmt numFmtId="165" formatCode="#,##0.00\ &quot;€&quot;"/>
  </numFmts>
  <fonts count="14" x14ac:knownFonts="1">
    <font>
      <sz val="11"/>
      <color theme="1"/>
      <name val="Calibri"/>
      <family val="2"/>
      <scheme val="minor"/>
    </font>
    <font>
      <sz val="8"/>
      <color theme="1"/>
      <name val="Calibri"/>
      <family val="2"/>
      <scheme val="minor"/>
    </font>
    <font>
      <b/>
      <sz val="11"/>
      <color theme="0"/>
      <name val="Calibri"/>
      <family val="2"/>
      <scheme val="minor"/>
    </font>
    <font>
      <b/>
      <sz val="18"/>
      <color theme="1"/>
      <name val="Calibri"/>
      <family val="2"/>
      <scheme val="minor"/>
    </font>
    <font>
      <sz val="11"/>
      <color theme="0" tint="-0.14999847407452621"/>
      <name val="Calibri"/>
      <family val="2"/>
      <scheme val="minor"/>
    </font>
    <font>
      <sz val="11"/>
      <color theme="0"/>
      <name val="Calibri"/>
      <family val="2"/>
      <scheme val="minor"/>
    </font>
    <font>
      <b/>
      <sz val="18"/>
      <color theme="0"/>
      <name val="Calibri"/>
      <family val="2"/>
      <scheme val="minor"/>
    </font>
    <font>
      <b/>
      <sz val="11"/>
      <color theme="1"/>
      <name val="Calibri"/>
      <family val="2"/>
      <scheme val="minor"/>
    </font>
    <font>
      <sz val="10"/>
      <color theme="1"/>
      <name val="Calibri"/>
      <family val="2"/>
      <scheme val="minor"/>
    </font>
    <font>
      <sz val="11"/>
      <color theme="1"/>
      <name val="Calibri"/>
      <family val="2"/>
      <scheme val="minor"/>
    </font>
    <font>
      <u/>
      <sz val="10"/>
      <color theme="10"/>
      <name val="Arial"/>
      <family val="2"/>
    </font>
    <font>
      <b/>
      <sz val="12"/>
      <color theme="1"/>
      <name val="Calibri"/>
      <family val="2"/>
      <scheme val="minor"/>
    </font>
    <font>
      <sz val="20"/>
      <color theme="1"/>
      <name val="Calibri"/>
      <family val="2"/>
      <scheme val="minor"/>
    </font>
    <font>
      <b/>
      <sz val="28"/>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rgb="FFFEF4F4"/>
        <bgColor indexed="64"/>
      </patternFill>
    </fill>
    <fill>
      <patternFill patternType="solid">
        <fgColor rgb="FF2B7DFA"/>
        <bgColor indexed="64"/>
      </patternFill>
    </fill>
    <fill>
      <patternFill patternType="solid">
        <fgColor rgb="FF00B050"/>
        <bgColor indexed="64"/>
      </patternFill>
    </fill>
    <fill>
      <patternFill patternType="solid">
        <fgColor rgb="FF92D050"/>
        <bgColor indexed="64"/>
      </patternFill>
    </fill>
  </fills>
  <borders count="17">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auto="1"/>
      </top>
      <bottom style="hair">
        <color auto="1"/>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diagonal/>
    </border>
  </borders>
  <cellStyleXfs count="4">
    <xf numFmtId="0" fontId="0" fillId="0" borderId="0"/>
    <xf numFmtId="44" fontId="9" fillId="0" borderId="0" applyFont="0" applyFill="0" applyBorder="0" applyAlignment="0" applyProtection="0"/>
    <xf numFmtId="0" fontId="9" fillId="0" borderId="0"/>
    <xf numFmtId="0" fontId="10" fillId="0" borderId="0" applyNumberFormat="0" applyFill="0" applyBorder="0" applyAlignment="0" applyProtection="0"/>
  </cellStyleXfs>
  <cellXfs count="106">
    <xf numFmtId="0" fontId="0" fillId="0" borderId="0" xfId="0"/>
    <xf numFmtId="0" fontId="0" fillId="2" borderId="0" xfId="0" applyFill="1"/>
    <xf numFmtId="0" fontId="0" fillId="2" borderId="1" xfId="0" applyFill="1" applyBorder="1"/>
    <xf numFmtId="0" fontId="3" fillId="2" borderId="0" xfId="0" applyFont="1" applyFill="1"/>
    <xf numFmtId="0" fontId="0" fillId="0" borderId="0" xfId="0" quotePrefix="1"/>
    <xf numFmtId="9" fontId="0" fillId="0" borderId="0" xfId="0" applyNumberFormat="1"/>
    <xf numFmtId="0" fontId="0" fillId="2" borderId="0" xfId="0" quotePrefix="1" applyFill="1"/>
    <xf numFmtId="0" fontId="4" fillId="0" borderId="0" xfId="0" quotePrefix="1" applyFont="1"/>
    <xf numFmtId="0" fontId="4" fillId="0" borderId="0" xfId="0" applyFont="1"/>
    <xf numFmtId="165" fontId="0" fillId="2" borderId="1" xfId="0" applyNumberFormat="1" applyFill="1" applyBorder="1"/>
    <xf numFmtId="0" fontId="0" fillId="2" borderId="1" xfId="0" applyFill="1" applyBorder="1" applyAlignment="1">
      <alignment horizontal="center"/>
    </xf>
    <xf numFmtId="0" fontId="1" fillId="2" borderId="0" xfId="0" applyFont="1" applyFill="1"/>
    <xf numFmtId="10" fontId="0" fillId="2" borderId="1" xfId="0" applyNumberFormat="1" applyFill="1" applyBorder="1"/>
    <xf numFmtId="0" fontId="0" fillId="2" borderId="1" xfId="0" applyFill="1" applyBorder="1"/>
    <xf numFmtId="14" fontId="0" fillId="2" borderId="1" xfId="0" applyNumberFormat="1" applyFill="1" applyBorder="1"/>
    <xf numFmtId="14" fontId="0" fillId="2" borderId="1" xfId="0" applyNumberFormat="1" applyFill="1" applyBorder="1" applyAlignment="1">
      <alignment horizontal="center"/>
    </xf>
    <xf numFmtId="0" fontId="6" fillId="4" borderId="0" xfId="0" applyFont="1" applyFill="1"/>
    <xf numFmtId="0" fontId="5" fillId="4" borderId="0" xfId="0" applyFont="1" applyFill="1"/>
    <xf numFmtId="0" fontId="0" fillId="4" borderId="0" xfId="0" applyFill="1"/>
    <xf numFmtId="0" fontId="0" fillId="3" borderId="0" xfId="0" applyFill="1"/>
    <xf numFmtId="0" fontId="0" fillId="3" borderId="0" xfId="0" applyFill="1" applyAlignment="1">
      <alignment horizontal="left" vertical="top" wrapText="1"/>
    </xf>
    <xf numFmtId="0" fontId="0" fillId="2" borderId="0" xfId="0" applyFill="1" applyBorder="1"/>
    <xf numFmtId="10" fontId="0" fillId="2" borderId="0" xfId="0" applyNumberFormat="1" applyFill="1" applyBorder="1"/>
    <xf numFmtId="0" fontId="0" fillId="2" borderId="0" xfId="0" applyFill="1" applyBorder="1" applyAlignment="1">
      <alignment horizontal="center"/>
    </xf>
    <xf numFmtId="14" fontId="0" fillId="2" borderId="0" xfId="0" applyNumberFormat="1" applyFill="1" applyBorder="1" applyAlignment="1">
      <alignment horizontal="center"/>
    </xf>
    <xf numFmtId="165" fontId="0" fillId="2" borderId="0" xfId="0" applyNumberFormat="1" applyFill="1" applyBorder="1"/>
    <xf numFmtId="165" fontId="0" fillId="2" borderId="0" xfId="0" applyNumberFormat="1" applyFill="1"/>
    <xf numFmtId="0" fontId="7" fillId="2" borderId="0" xfId="0" applyFont="1" applyFill="1"/>
    <xf numFmtId="0" fontId="0" fillId="2" borderId="0" xfId="0" applyFont="1" applyFill="1"/>
    <xf numFmtId="0" fontId="2" fillId="2" borderId="8" xfId="0" applyFont="1" applyFill="1" applyBorder="1" applyAlignment="1">
      <alignment horizontal="center"/>
    </xf>
    <xf numFmtId="0" fontId="2" fillId="2" borderId="16" xfId="0" applyFont="1" applyFill="1" applyBorder="1" applyAlignment="1">
      <alignment horizontal="center"/>
    </xf>
    <xf numFmtId="0" fontId="0" fillId="2" borderId="16" xfId="0" applyFill="1" applyBorder="1" applyAlignment="1">
      <alignment horizontal="center"/>
    </xf>
    <xf numFmtId="164" fontId="0" fillId="2" borderId="1" xfId="0" applyNumberFormat="1" applyFill="1" applyBorder="1"/>
    <xf numFmtId="0" fontId="0" fillId="2" borderId="2" xfId="0" applyFill="1" applyBorder="1" applyAlignment="1"/>
    <xf numFmtId="0" fontId="0" fillId="2" borderId="4" xfId="0" applyFill="1" applyBorder="1" applyAlignment="1"/>
    <xf numFmtId="0" fontId="0" fillId="2" borderId="1" xfId="0" applyFill="1" applyBorder="1" applyAlignment="1">
      <alignment horizontal="center" vertical="top"/>
    </xf>
    <xf numFmtId="0" fontId="0" fillId="2" borderId="1" xfId="0" applyFill="1" applyBorder="1" applyAlignment="1">
      <alignment horizontal="left" vertical="top"/>
    </xf>
    <xf numFmtId="0" fontId="0" fillId="2" borderId="2" xfId="0" applyFill="1" applyBorder="1" applyAlignment="1">
      <alignment horizontal="left" vertical="top"/>
    </xf>
    <xf numFmtId="0" fontId="0" fillId="2" borderId="4" xfId="0" applyFill="1" applyBorder="1" applyAlignment="1">
      <alignment horizontal="center" vertical="top"/>
    </xf>
    <xf numFmtId="0" fontId="0" fillId="2" borderId="3" xfId="0" applyFill="1" applyBorder="1" applyAlignment="1">
      <alignment horizontal="left" vertical="top"/>
    </xf>
    <xf numFmtId="0" fontId="2" fillId="6" borderId="1" xfId="0" applyFont="1" applyFill="1" applyBorder="1" applyAlignment="1">
      <alignment horizontal="center" vertical="center"/>
    </xf>
    <xf numFmtId="0" fontId="2" fillId="6" borderId="1" xfId="0" applyFont="1" applyFill="1" applyBorder="1" applyAlignment="1">
      <alignment horizontal="center"/>
    </xf>
    <xf numFmtId="0" fontId="6" fillId="7" borderId="0" xfId="0" applyFont="1" applyFill="1"/>
    <xf numFmtId="0" fontId="5" fillId="7" borderId="0" xfId="0" applyFont="1" applyFill="1"/>
    <xf numFmtId="0" fontId="0" fillId="7" borderId="0" xfId="0" applyFill="1"/>
    <xf numFmtId="0" fontId="0" fillId="8" borderId="0" xfId="0" applyFill="1" applyAlignment="1">
      <alignment horizontal="left" vertical="top" wrapText="1"/>
    </xf>
    <xf numFmtId="0" fontId="0" fillId="8" borderId="0" xfId="0" applyFill="1"/>
    <xf numFmtId="0" fontId="2" fillId="7" borderId="1" xfId="0" applyFont="1" applyFill="1" applyBorder="1" applyAlignment="1">
      <alignment horizontal="right"/>
    </xf>
    <xf numFmtId="0" fontId="2" fillId="7" borderId="1" xfId="0" applyFont="1" applyFill="1" applyBorder="1" applyAlignment="1">
      <alignment horizontal="center"/>
    </xf>
    <xf numFmtId="44" fontId="0" fillId="2" borderId="1" xfId="1" applyFont="1" applyFill="1" applyBorder="1"/>
    <xf numFmtId="44" fontId="0" fillId="5" borderId="1" xfId="1" applyFont="1" applyFill="1" applyBorder="1"/>
    <xf numFmtId="7" fontId="0" fillId="2" borderId="1" xfId="1" applyNumberFormat="1" applyFont="1" applyFill="1" applyBorder="1"/>
    <xf numFmtId="44" fontId="0" fillId="2" borderId="0" xfId="0" applyNumberFormat="1" applyFill="1"/>
    <xf numFmtId="0" fontId="11" fillId="2" borderId="0" xfId="0" applyFont="1" applyFill="1" applyAlignment="1">
      <alignment vertical="center"/>
    </xf>
    <xf numFmtId="0" fontId="0" fillId="0" borderId="0" xfId="0" applyFill="1"/>
    <xf numFmtId="0" fontId="0" fillId="0" borderId="0" xfId="0" applyFill="1"/>
    <xf numFmtId="0" fontId="12" fillId="0" borderId="0" xfId="0" applyFont="1" applyFill="1"/>
    <xf numFmtId="7" fontId="0" fillId="2" borderId="0" xfId="0" applyNumberFormat="1" applyFill="1"/>
    <xf numFmtId="0" fontId="0" fillId="3" borderId="0" xfId="0" applyFill="1" applyAlignment="1">
      <alignment horizontal="left" vertical="top" wrapText="1"/>
    </xf>
    <xf numFmtId="0" fontId="2" fillId="6" borderId="8" xfId="0" applyFont="1" applyFill="1" applyBorder="1" applyAlignment="1">
      <alignment vertical="center"/>
    </xf>
    <xf numFmtId="0" fontId="2" fillId="6" borderId="0" xfId="0" applyFont="1" applyFill="1" applyBorder="1" applyAlignment="1">
      <alignment vertical="center"/>
    </xf>
    <xf numFmtId="0" fontId="2" fillId="6" borderId="2"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6"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10" xfId="0" applyFont="1" applyFill="1" applyBorder="1" applyAlignment="1">
      <alignment horizontal="center" vertical="center"/>
    </xf>
    <xf numFmtId="0" fontId="2" fillId="6" borderId="12" xfId="0" applyFont="1" applyFill="1" applyBorder="1" applyAlignment="1">
      <alignment horizontal="center" vertical="center"/>
    </xf>
    <xf numFmtId="0" fontId="2" fillId="6" borderId="2" xfId="0" quotePrefix="1" applyFont="1" applyFill="1" applyBorder="1" applyAlignment="1"/>
    <xf numFmtId="0" fontId="2" fillId="6" borderId="4" xfId="0" quotePrefix="1" applyFont="1" applyFill="1" applyBorder="1" applyAlignment="1"/>
    <xf numFmtId="0" fontId="2" fillId="6" borderId="3" xfId="0" quotePrefix="1" applyFont="1" applyFill="1" applyBorder="1" applyAlignment="1"/>
    <xf numFmtId="0" fontId="0" fillId="2" borderId="1" xfId="0" applyFill="1" applyBorder="1" applyAlignment="1">
      <alignment vertical="top" wrapText="1"/>
    </xf>
    <xf numFmtId="0" fontId="0" fillId="2" borderId="1" xfId="0" applyFill="1" applyBorder="1" applyAlignment="1">
      <alignment vertical="top"/>
    </xf>
    <xf numFmtId="0" fontId="8" fillId="2" borderId="0" xfId="0" applyFont="1" applyFill="1" applyAlignment="1">
      <alignment horizontal="left" wrapText="1"/>
    </xf>
    <xf numFmtId="0" fontId="0" fillId="8" borderId="0" xfId="0" applyFill="1" applyAlignment="1">
      <alignment horizontal="left" vertical="top" wrapText="1"/>
    </xf>
    <xf numFmtId="0" fontId="2" fillId="7" borderId="2" xfId="0" applyFont="1" applyFill="1" applyBorder="1"/>
    <xf numFmtId="0" fontId="2" fillId="7" borderId="4" xfId="0" applyFont="1" applyFill="1" applyBorder="1"/>
    <xf numFmtId="0" fontId="2" fillId="7" borderId="3" xfId="0" applyFont="1" applyFill="1" applyBorder="1"/>
    <xf numFmtId="0" fontId="0" fillId="2" borderId="6" xfId="0" applyFill="1" applyBorder="1" applyAlignment="1">
      <alignment horizontal="left" vertical="top" wrapText="1"/>
    </xf>
    <xf numFmtId="0" fontId="0" fillId="2" borderId="5"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0" xfId="0" applyFill="1" applyBorder="1" applyAlignment="1">
      <alignment horizontal="left" vertical="top" wrapText="1"/>
    </xf>
    <xf numFmtId="0" fontId="0" fillId="2" borderId="9" xfId="0" applyFill="1" applyBorder="1" applyAlignment="1">
      <alignment horizontal="left" vertical="top" wrapText="1"/>
    </xf>
    <xf numFmtId="0" fontId="0" fillId="2" borderId="10" xfId="0" applyFill="1" applyBorder="1" applyAlignment="1">
      <alignment horizontal="left" vertical="top" wrapText="1"/>
    </xf>
    <xf numFmtId="0" fontId="0" fillId="2" borderId="11" xfId="0" applyFill="1" applyBorder="1" applyAlignment="1">
      <alignment horizontal="left" vertical="top" wrapText="1"/>
    </xf>
    <xf numFmtId="0" fontId="0" fillId="2" borderId="12" xfId="0" applyFill="1" applyBorder="1" applyAlignment="1">
      <alignment horizontal="left" vertical="top" wrapText="1"/>
    </xf>
    <xf numFmtId="0" fontId="0" fillId="2" borderId="1" xfId="0" applyFill="1" applyBorder="1"/>
    <xf numFmtId="0" fontId="2" fillId="7" borderId="2" xfId="0" applyFont="1" applyFill="1" applyBorder="1" applyAlignment="1"/>
    <xf numFmtId="0" fontId="2" fillId="7" borderId="3" xfId="0" applyFont="1" applyFill="1" applyBorder="1" applyAlignment="1"/>
    <xf numFmtId="0" fontId="2" fillId="7" borderId="1" xfId="0" applyFont="1" applyFill="1" applyBorder="1" applyAlignment="1">
      <alignment horizontal="center"/>
    </xf>
    <xf numFmtId="0" fontId="2" fillId="7" borderId="2" xfId="0" applyFont="1" applyFill="1" applyBorder="1" applyAlignment="1">
      <alignment horizontal="center"/>
    </xf>
    <xf numFmtId="0" fontId="2" fillId="7" borderId="3" xfId="0" applyFont="1" applyFill="1" applyBorder="1" applyAlignment="1">
      <alignment horizontal="center"/>
    </xf>
    <xf numFmtId="0" fontId="0" fillId="7" borderId="0" xfId="0" applyFill="1"/>
    <xf numFmtId="0" fontId="0" fillId="8" borderId="0" xfId="0" applyFill="1"/>
    <xf numFmtId="0" fontId="0" fillId="2" borderId="0" xfId="0" applyFill="1"/>
    <xf numFmtId="0" fontId="2" fillId="7" borderId="13" xfId="0" applyFont="1" applyFill="1" applyBorder="1" applyAlignment="1">
      <alignment horizontal="center"/>
    </xf>
    <xf numFmtId="0" fontId="2" fillId="7" borderId="14" xfId="0" applyFont="1" applyFill="1" applyBorder="1" applyAlignment="1">
      <alignment horizontal="center"/>
    </xf>
    <xf numFmtId="7" fontId="0" fillId="5" borderId="1" xfId="1" applyNumberFormat="1" applyFont="1" applyFill="1" applyBorder="1"/>
    <xf numFmtId="7" fontId="0" fillId="2" borderId="15" xfId="1" applyNumberFormat="1" applyFont="1" applyFill="1" applyBorder="1"/>
    <xf numFmtId="7" fontId="7" fillId="2" borderId="14" xfId="1" applyNumberFormat="1" applyFont="1" applyFill="1" applyBorder="1"/>
    <xf numFmtId="7" fontId="0" fillId="0" borderId="1" xfId="1" applyNumberFormat="1" applyFont="1" applyFill="1" applyBorder="1"/>
    <xf numFmtId="44" fontId="13" fillId="7" borderId="0" xfId="1" applyFont="1" applyFill="1"/>
    <xf numFmtId="0" fontId="0" fillId="0" borderId="0" xfId="0" applyFill="1" applyAlignment="1" applyProtection="1">
      <alignment horizontal="center" vertical="center"/>
    </xf>
  </cellXfs>
  <cellStyles count="4">
    <cellStyle name="Currency" xfId="1" builtinId="4"/>
    <cellStyle name="Hyperlink 2 2" xfId="3"/>
    <cellStyle name="Normal" xfId="0" builtinId="0"/>
    <cellStyle name="Normal 2 2 2" xfId="2"/>
  </cellStyles>
  <dxfs count="4">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dxf>
  </dxfs>
  <tableStyles count="0" defaultTableStyle="TableStyleMedium2" defaultPivotStyle="PivotStyleLight16"/>
  <colors>
    <mruColors>
      <color rgb="FF33A6FC"/>
      <color rgb="FF2B7DFA"/>
      <color rgb="FF324BF2"/>
      <color rgb="FF7F37DB"/>
      <color rgb="FF60D4FF"/>
      <color rgb="FFF66E6E"/>
      <color rgb="FFFEF4F4"/>
      <color rgb="FFFEECEC"/>
      <color rgb="FFFDDBDB"/>
      <color rgb="FFD304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2.xml"/><Relationship Id="rId7" Type="http://schemas.openxmlformats.org/officeDocument/2006/relationships/sharedStrings" Target="sharedString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3.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'2. Template'!$A$3:$B$3</c:f>
            </c:numRef>
          </c:val>
        </c:ser>
        <c:dLbls>
          <c:showLegendKey val="0"/>
          <c:showVal val="0"/>
          <c:showCatName val="0"/>
          <c:showSerName val="0"/>
          <c:showPercent val="0"/>
          <c:showBubbleSize val="0"/>
        </c:dLbls>
        <c:gapWidth val="219"/>
        <c:overlap val="-27"/>
        <c:axId val="286846208"/>
        <c:axId val="286848952"/>
      </c:barChart>
      <c:catAx>
        <c:axId val="2868462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848952"/>
        <c:crosses val="autoZero"/>
        <c:auto val="1"/>
        <c:lblAlgn val="ctr"/>
        <c:lblOffset val="100"/>
        <c:noMultiLvlLbl val="0"/>
      </c:catAx>
      <c:valAx>
        <c:axId val="286848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846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1">
    <tabColor rgb="FF2B7DFA"/>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273050</xdr:colOff>
      <xdr:row>7</xdr:row>
      <xdr:rowOff>152400</xdr:rowOff>
    </xdr:from>
    <xdr:to>
      <xdr:col>0</xdr:col>
      <xdr:colOff>1143000</xdr:colOff>
      <xdr:row>10</xdr:row>
      <xdr:rowOff>0</xdr:rowOff>
    </xdr:to>
    <xdr:sp macro="[0]!LeasePayments" textlink="">
      <xdr:nvSpPr>
        <xdr:cNvPr id="3" name="Rounded Rectangle 2">
          <a:extLst>
            <a:ext uri="{FF2B5EF4-FFF2-40B4-BE49-F238E27FC236}">
              <a16:creationId xmlns="" xmlns:a16="http://schemas.microsoft.com/office/drawing/2014/main" id="{BB008D04-D421-CC4E-8335-ED087C8FA64F}"/>
            </a:ext>
          </a:extLst>
        </xdr:cNvPr>
        <xdr:cNvSpPr/>
      </xdr:nvSpPr>
      <xdr:spPr>
        <a:xfrm>
          <a:off x="273050" y="2105025"/>
          <a:ext cx="869950" cy="5905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t>ADD</a:t>
          </a:r>
          <a:r>
            <a:rPr lang="en-GB" sz="1200" baseline="0"/>
            <a:t> NEW LEASE</a:t>
          </a:r>
          <a:endParaRPr lang="en-GB" sz="1200"/>
        </a:p>
      </xdr:txBody>
    </xdr:sp>
    <xdr:clientData/>
  </xdr:twoCellAnchor>
  <xdr:twoCellAnchor>
    <xdr:from>
      <xdr:col>1</xdr:col>
      <xdr:colOff>285750</xdr:colOff>
      <xdr:row>7</xdr:row>
      <xdr:rowOff>142875</xdr:rowOff>
    </xdr:from>
    <xdr:to>
      <xdr:col>1</xdr:col>
      <xdr:colOff>1155700</xdr:colOff>
      <xdr:row>9</xdr:row>
      <xdr:rowOff>238125</xdr:rowOff>
    </xdr:to>
    <xdr:sp macro="[0]!ServicePayments" textlink="">
      <xdr:nvSpPr>
        <xdr:cNvPr id="7" name="Rounded Rectangle 6">
          <a:extLst>
            <a:ext uri="{FF2B5EF4-FFF2-40B4-BE49-F238E27FC236}">
              <a16:creationId xmlns="" xmlns:a16="http://schemas.microsoft.com/office/drawing/2014/main" id="{BB008D04-D421-CC4E-8335-ED087C8FA64F}"/>
            </a:ext>
          </a:extLst>
        </xdr:cNvPr>
        <xdr:cNvSpPr/>
      </xdr:nvSpPr>
      <xdr:spPr>
        <a:xfrm>
          <a:off x="1885950" y="2095500"/>
          <a:ext cx="869950" cy="5905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t>ADD</a:t>
          </a:r>
          <a:r>
            <a:rPr lang="en-GB" sz="1200" baseline="0"/>
            <a:t> NEW SERVICE</a:t>
          </a:r>
          <a:endParaRPr lang="en-GB" sz="1200"/>
        </a:p>
      </xdr:txBody>
    </xdr:sp>
    <xdr:clientData/>
  </xdr:twoCellAnchor>
</xdr:wsDr>
</file>

<file path=xl/tables/table1.xml><?xml version="1.0" encoding="utf-8"?>
<table xmlns="http://schemas.openxmlformats.org/spreadsheetml/2006/main" id="5" name="Table5" displayName="Table5" ref="A1:B2" totalsRowShown="0" headerRowDxfId="3" dataDxfId="0">
  <autoFilter ref="A1:B2"/>
  <tableColumns count="2">
    <tableColumn id="2" name="LEASE PAYMENT" dataDxfId="2"/>
    <tableColumn id="3" name="SERVICE PAYMEN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B7DFA"/>
  </sheetPr>
  <dimension ref="B2:R48"/>
  <sheetViews>
    <sheetView topLeftCell="A3" workbookViewId="0">
      <selection activeCell="Q46" sqref="Q46:R48"/>
    </sheetView>
  </sheetViews>
  <sheetFormatPr defaultColWidth="11.42578125" defaultRowHeight="15" x14ac:dyDescent="0.25"/>
  <cols>
    <col min="1" max="1" width="3" style="1" customWidth="1"/>
    <col min="2" max="2" width="6" style="1" customWidth="1"/>
    <col min="3" max="3" width="30.85546875" style="1" customWidth="1"/>
    <col min="4" max="4" width="5.85546875" style="1" customWidth="1"/>
    <col min="5" max="5" width="18.7109375" style="1" customWidth="1"/>
    <col min="6" max="6" width="18" style="1" customWidth="1"/>
    <col min="7" max="7" width="5.7109375" style="1" customWidth="1"/>
    <col min="8" max="9" width="18" style="1" customWidth="1"/>
    <col min="10" max="10" width="5.7109375" style="1" customWidth="1"/>
    <col min="11" max="11" width="18" style="1" customWidth="1"/>
    <col min="12" max="12" width="20.7109375" style="1" customWidth="1"/>
    <col min="13" max="13" width="5.7109375" style="1" customWidth="1"/>
    <col min="14" max="14" width="20.42578125" style="1" customWidth="1"/>
    <col min="15" max="15" width="20" style="1" customWidth="1"/>
    <col min="16" max="16" width="5.7109375" style="1" customWidth="1"/>
    <col min="17" max="18" width="18" style="1" customWidth="1"/>
    <col min="19" max="16384" width="11.42578125" style="1"/>
  </cols>
  <sheetData>
    <row r="2" spans="2:17" s="18" customFormat="1" ht="23.25" x14ac:dyDescent="0.35">
      <c r="B2" s="16" t="s">
        <v>17</v>
      </c>
      <c r="C2" s="16"/>
      <c r="D2" s="16"/>
      <c r="E2" s="16"/>
      <c r="F2" s="17"/>
      <c r="G2" s="17"/>
      <c r="H2" s="17"/>
      <c r="I2" s="17"/>
      <c r="J2" s="17"/>
      <c r="K2" s="17"/>
      <c r="L2" s="17"/>
      <c r="M2" s="17"/>
      <c r="N2" s="17"/>
      <c r="O2" s="17"/>
      <c r="P2" s="17"/>
      <c r="Q2" s="17"/>
    </row>
    <row r="3" spans="2:17" s="19" customFormat="1" ht="15" customHeight="1" x14ac:dyDescent="0.25">
      <c r="B3" s="58" t="s">
        <v>28</v>
      </c>
      <c r="C3" s="58"/>
      <c r="D3" s="58"/>
      <c r="E3" s="58"/>
      <c r="F3" s="58"/>
      <c r="G3" s="58"/>
      <c r="H3" s="58"/>
      <c r="I3" s="58"/>
      <c r="J3" s="58"/>
      <c r="K3" s="58"/>
      <c r="L3" s="58"/>
      <c r="M3" s="58"/>
      <c r="N3" s="58"/>
      <c r="O3" s="58"/>
      <c r="P3" s="58"/>
      <c r="Q3" s="20"/>
    </row>
    <row r="4" spans="2:17" s="19" customFormat="1" x14ac:dyDescent="0.25">
      <c r="B4" s="58"/>
      <c r="C4" s="58"/>
      <c r="D4" s="58"/>
      <c r="E4" s="58"/>
      <c r="F4" s="58"/>
      <c r="G4" s="58"/>
      <c r="H4" s="58"/>
      <c r="I4" s="58"/>
      <c r="J4" s="58"/>
      <c r="K4" s="58"/>
      <c r="L4" s="58"/>
      <c r="M4" s="58"/>
      <c r="N4" s="58"/>
      <c r="O4" s="58"/>
      <c r="P4" s="58"/>
      <c r="Q4" s="20"/>
    </row>
    <row r="5" spans="2:17" x14ac:dyDescent="0.25">
      <c r="B5" s="6"/>
      <c r="C5" s="6"/>
      <c r="D5" s="6"/>
    </row>
    <row r="6" spans="2:17" ht="23.25" x14ac:dyDescent="0.35">
      <c r="B6" s="3" t="s">
        <v>24</v>
      </c>
      <c r="C6" s="3"/>
      <c r="D6" s="3"/>
    </row>
    <row r="7" spans="2:17" x14ac:dyDescent="0.25">
      <c r="B7" s="66" t="s">
        <v>15</v>
      </c>
      <c r="C7" s="67"/>
      <c r="D7" s="59" t="s">
        <v>23</v>
      </c>
      <c r="E7" s="60"/>
      <c r="F7" s="60"/>
      <c r="G7" s="60"/>
      <c r="H7" s="60"/>
      <c r="I7" s="60"/>
      <c r="J7" s="60"/>
      <c r="K7" s="60"/>
      <c r="L7" s="61" t="s">
        <v>42</v>
      </c>
      <c r="M7" s="62"/>
      <c r="N7" s="63"/>
      <c r="O7" s="40" t="s">
        <v>58</v>
      </c>
    </row>
    <row r="8" spans="2:17" ht="60" customHeight="1" x14ac:dyDescent="0.25">
      <c r="B8" s="35">
        <v>1</v>
      </c>
      <c r="C8" s="36" t="s">
        <v>29</v>
      </c>
      <c r="D8" s="73" t="s">
        <v>32</v>
      </c>
      <c r="E8" s="74"/>
      <c r="F8" s="74"/>
      <c r="G8" s="74"/>
      <c r="H8" s="74"/>
      <c r="I8" s="74"/>
      <c r="J8" s="74"/>
      <c r="K8" s="74"/>
      <c r="L8" s="37" t="s">
        <v>19</v>
      </c>
      <c r="M8" s="38" t="s">
        <v>38</v>
      </c>
      <c r="N8" s="39" t="s">
        <v>18</v>
      </c>
      <c r="O8" s="35" t="s">
        <v>39</v>
      </c>
    </row>
    <row r="9" spans="2:17" ht="60" customHeight="1" x14ac:dyDescent="0.25">
      <c r="B9" s="35">
        <v>3</v>
      </c>
      <c r="C9" s="36" t="s">
        <v>30</v>
      </c>
      <c r="D9" s="73" t="s">
        <v>33</v>
      </c>
      <c r="E9" s="74"/>
      <c r="F9" s="74"/>
      <c r="G9" s="74"/>
      <c r="H9" s="74"/>
      <c r="I9" s="74"/>
      <c r="J9" s="74"/>
      <c r="K9" s="74"/>
      <c r="L9" s="37" t="s">
        <v>18</v>
      </c>
      <c r="M9" s="38" t="s">
        <v>38</v>
      </c>
      <c r="N9" s="39" t="s">
        <v>37</v>
      </c>
      <c r="O9" s="35" t="s">
        <v>40</v>
      </c>
    </row>
    <row r="10" spans="2:17" ht="60" customHeight="1" x14ac:dyDescent="0.25">
      <c r="B10" s="35">
        <v>2</v>
      </c>
      <c r="C10" s="36" t="s">
        <v>31</v>
      </c>
      <c r="D10" s="73" t="s">
        <v>34</v>
      </c>
      <c r="E10" s="74"/>
      <c r="F10" s="74"/>
      <c r="G10" s="74"/>
      <c r="H10" s="74"/>
      <c r="I10" s="74"/>
      <c r="J10" s="74"/>
      <c r="K10" s="74"/>
      <c r="L10" s="37" t="s">
        <v>22</v>
      </c>
      <c r="M10" s="38" t="s">
        <v>38</v>
      </c>
      <c r="N10" s="39" t="s">
        <v>18</v>
      </c>
      <c r="O10" s="35" t="s">
        <v>41</v>
      </c>
    </row>
    <row r="11" spans="2:17" ht="60" customHeight="1" x14ac:dyDescent="0.25">
      <c r="B11" s="35">
        <v>4</v>
      </c>
      <c r="C11" s="36" t="s">
        <v>21</v>
      </c>
      <c r="D11" s="73" t="s">
        <v>35</v>
      </c>
      <c r="E11" s="74"/>
      <c r="F11" s="74"/>
      <c r="G11" s="74"/>
      <c r="H11" s="74"/>
      <c r="I11" s="74"/>
      <c r="J11" s="74"/>
      <c r="K11" s="74"/>
      <c r="L11" s="37" t="s">
        <v>20</v>
      </c>
      <c r="M11" s="38" t="s">
        <v>38</v>
      </c>
      <c r="N11" s="39" t="s">
        <v>19</v>
      </c>
      <c r="O11" s="35" t="s">
        <v>41</v>
      </c>
    </row>
    <row r="12" spans="2:17" x14ac:dyDescent="0.25">
      <c r="D12" s="21"/>
      <c r="E12" s="21"/>
      <c r="G12" s="21"/>
      <c r="J12" s="21"/>
      <c r="M12" s="21"/>
      <c r="P12" s="21"/>
    </row>
    <row r="13" spans="2:17" x14ac:dyDescent="0.25">
      <c r="D13" s="21"/>
      <c r="E13" s="21"/>
      <c r="G13" s="21"/>
      <c r="J13" s="21"/>
      <c r="M13" s="21"/>
      <c r="P13" s="21"/>
    </row>
    <row r="14" spans="2:17" ht="23.25" x14ac:dyDescent="0.35">
      <c r="B14" s="3" t="s">
        <v>59</v>
      </c>
      <c r="C14" s="3"/>
      <c r="D14" s="3"/>
    </row>
    <row r="15" spans="2:17" x14ac:dyDescent="0.25">
      <c r="B15" s="70" t="s">
        <v>25</v>
      </c>
      <c r="C15" s="71"/>
      <c r="D15" s="71"/>
      <c r="E15" s="72"/>
    </row>
    <row r="16" spans="2:17" x14ac:dyDescent="0.25">
      <c r="B16" s="33" t="s">
        <v>46</v>
      </c>
      <c r="C16" s="34"/>
      <c r="D16" s="34"/>
      <c r="E16" s="13">
        <v>3</v>
      </c>
    </row>
    <row r="17" spans="2:18" x14ac:dyDescent="0.25">
      <c r="B17" s="33" t="s">
        <v>47</v>
      </c>
      <c r="C17" s="34"/>
      <c r="D17" s="34"/>
      <c r="E17" s="9">
        <v>10000</v>
      </c>
    </row>
    <row r="18" spans="2:18" x14ac:dyDescent="0.25">
      <c r="B18" s="33" t="s">
        <v>48</v>
      </c>
      <c r="C18" s="34"/>
      <c r="D18" s="34"/>
      <c r="E18" s="12">
        <v>0.03</v>
      </c>
    </row>
    <row r="19" spans="2:18" x14ac:dyDescent="0.25">
      <c r="B19" s="6"/>
      <c r="C19" s="6"/>
      <c r="D19" s="6"/>
    </row>
    <row r="20" spans="2:18" x14ac:dyDescent="0.25">
      <c r="B20" s="70" t="s">
        <v>26</v>
      </c>
      <c r="C20" s="71"/>
      <c r="D20" s="71"/>
      <c r="E20" s="72"/>
    </row>
    <row r="21" spans="2:18" x14ac:dyDescent="0.25">
      <c r="B21" s="33" t="s">
        <v>49</v>
      </c>
      <c r="C21" s="34"/>
      <c r="D21" s="34"/>
      <c r="E21" s="32">
        <f>PV(E18,E16,-E17,,1)</f>
        <v>29134.696955415217</v>
      </c>
    </row>
    <row r="22" spans="2:18" x14ac:dyDescent="0.25">
      <c r="B22" s="33" t="s">
        <v>50</v>
      </c>
      <c r="C22" s="34"/>
      <c r="D22" s="34"/>
      <c r="E22" s="9">
        <f>PV(E18,E16-1,-E17,,1)</f>
        <v>19708.737864077659</v>
      </c>
    </row>
    <row r="23" spans="2:18" x14ac:dyDescent="0.25">
      <c r="B23" s="33" t="s">
        <v>51</v>
      </c>
      <c r="C23" s="34"/>
      <c r="D23" s="34"/>
      <c r="E23" s="32">
        <f>PV(E18,E16-2,-E17,,1)</f>
        <v>10000.000000000009</v>
      </c>
    </row>
    <row r="24" spans="2:18" ht="27" customHeight="1" x14ac:dyDescent="0.25">
      <c r="B24" s="75" t="s">
        <v>52</v>
      </c>
      <c r="C24" s="75"/>
      <c r="D24" s="75"/>
      <c r="E24" s="75"/>
      <c r="F24" s="75"/>
      <c r="G24" s="75"/>
      <c r="H24" s="75"/>
    </row>
    <row r="26" spans="2:18" x14ac:dyDescent="0.25">
      <c r="B26" s="27" t="s">
        <v>53</v>
      </c>
      <c r="C26" s="27"/>
      <c r="D26" s="27"/>
      <c r="E26" s="28"/>
      <c r="F26" s="28"/>
      <c r="G26" s="28"/>
      <c r="H26" s="28"/>
      <c r="I26" s="28"/>
      <c r="J26" s="28"/>
      <c r="K26" s="28"/>
      <c r="L26" s="28"/>
      <c r="M26" s="28"/>
      <c r="N26" s="28"/>
      <c r="O26" s="28"/>
      <c r="P26" s="28"/>
      <c r="Q26" s="28"/>
      <c r="R26" s="28"/>
    </row>
    <row r="27" spans="2:18" x14ac:dyDescent="0.25">
      <c r="B27" s="66" t="s">
        <v>45</v>
      </c>
      <c r="C27" s="67"/>
      <c r="D27" s="29"/>
      <c r="E27" s="64" t="s">
        <v>19</v>
      </c>
      <c r="F27" s="65"/>
      <c r="G27" s="30"/>
      <c r="H27" s="64" t="s">
        <v>21</v>
      </c>
      <c r="I27" s="65"/>
      <c r="J27" s="30"/>
      <c r="K27" s="64" t="s">
        <v>18</v>
      </c>
      <c r="L27" s="65"/>
      <c r="M27" s="30"/>
      <c r="N27" s="64" t="s">
        <v>22</v>
      </c>
      <c r="O27" s="65"/>
      <c r="P27" s="30"/>
      <c r="Q27" s="64" t="s">
        <v>36</v>
      </c>
      <c r="R27" s="65"/>
    </row>
    <row r="28" spans="2:18" x14ac:dyDescent="0.25">
      <c r="B28" s="68"/>
      <c r="C28" s="69"/>
      <c r="D28" s="30"/>
      <c r="E28" s="41" t="s">
        <v>43</v>
      </c>
      <c r="F28" s="41" t="s">
        <v>44</v>
      </c>
      <c r="G28" s="31"/>
      <c r="H28" s="41" t="s">
        <v>43</v>
      </c>
      <c r="I28" s="41" t="s">
        <v>44</v>
      </c>
      <c r="J28" s="31"/>
      <c r="K28" s="41" t="s">
        <v>43</v>
      </c>
      <c r="L28" s="41" t="s">
        <v>44</v>
      </c>
      <c r="M28" s="31"/>
      <c r="N28" s="41" t="s">
        <v>43</v>
      </c>
      <c r="O28" s="41" t="s">
        <v>44</v>
      </c>
      <c r="P28" s="31"/>
      <c r="Q28" s="41" t="s">
        <v>43</v>
      </c>
      <c r="R28" s="41" t="s">
        <v>44</v>
      </c>
    </row>
    <row r="29" spans="2:18" x14ac:dyDescent="0.25">
      <c r="B29" s="10">
        <v>1</v>
      </c>
      <c r="C29" s="36" t="s">
        <v>29</v>
      </c>
      <c r="D29" s="31" t="s">
        <v>57</v>
      </c>
      <c r="E29" s="49">
        <f>$E$21</f>
        <v>29134.696955415217</v>
      </c>
      <c r="F29" s="49">
        <v>0</v>
      </c>
      <c r="G29" s="31"/>
      <c r="H29" s="49">
        <v>0</v>
      </c>
      <c r="I29" s="49">
        <v>0</v>
      </c>
      <c r="J29" s="31"/>
      <c r="K29" s="49">
        <v>0</v>
      </c>
      <c r="L29" s="49">
        <f>E29</f>
        <v>29134.696955415217</v>
      </c>
      <c r="M29" s="31"/>
      <c r="N29" s="49">
        <v>0</v>
      </c>
      <c r="O29" s="49">
        <v>0</v>
      </c>
      <c r="P29" s="31"/>
      <c r="Q29" s="49">
        <v>0</v>
      </c>
      <c r="R29" s="49">
        <v>0</v>
      </c>
    </row>
    <row r="30" spans="2:18" x14ac:dyDescent="0.25">
      <c r="B30" s="10">
        <v>2</v>
      </c>
      <c r="C30" s="36" t="s">
        <v>30</v>
      </c>
      <c r="D30" s="31"/>
      <c r="E30" s="49">
        <v>0</v>
      </c>
      <c r="F30" s="49">
        <v>0</v>
      </c>
      <c r="G30" s="21"/>
      <c r="H30" s="49">
        <v>0</v>
      </c>
      <c r="I30" s="49">
        <v>0</v>
      </c>
      <c r="J30" s="21"/>
      <c r="K30" s="49">
        <f>$E$17</f>
        <v>10000</v>
      </c>
      <c r="L30" s="49">
        <v>0</v>
      </c>
      <c r="M30" s="21"/>
      <c r="N30" s="49">
        <v>0</v>
      </c>
      <c r="O30" s="49">
        <v>0</v>
      </c>
      <c r="P30" s="21"/>
      <c r="Q30" s="49">
        <v>0</v>
      </c>
      <c r="R30" s="49">
        <f>K30</f>
        <v>10000</v>
      </c>
    </row>
    <row r="31" spans="2:18" x14ac:dyDescent="0.25">
      <c r="B31" s="10">
        <v>3</v>
      </c>
      <c r="C31" s="36" t="s">
        <v>31</v>
      </c>
      <c r="D31" s="31"/>
      <c r="E31" s="49">
        <v>0</v>
      </c>
      <c r="F31" s="49">
        <v>0</v>
      </c>
      <c r="G31" s="31"/>
      <c r="H31" s="49">
        <v>0</v>
      </c>
      <c r="I31" s="49">
        <v>0</v>
      </c>
      <c r="J31" s="31"/>
      <c r="K31" s="49">
        <v>0</v>
      </c>
      <c r="L31" s="49">
        <f>$E$17-($E$21-$E$22)</f>
        <v>574.04090866244223</v>
      </c>
      <c r="M31" s="31"/>
      <c r="N31" s="49">
        <f>L31</f>
        <v>574.04090866244223</v>
      </c>
      <c r="O31" s="49">
        <v>0</v>
      </c>
      <c r="P31" s="31"/>
      <c r="Q31" s="49">
        <v>0</v>
      </c>
      <c r="R31" s="49">
        <v>0</v>
      </c>
    </row>
    <row r="32" spans="2:18" x14ac:dyDescent="0.25">
      <c r="B32" s="10">
        <v>4</v>
      </c>
      <c r="C32" s="36" t="s">
        <v>21</v>
      </c>
      <c r="D32" s="31"/>
      <c r="E32" s="49">
        <v>0</v>
      </c>
      <c r="F32" s="49">
        <f>$E$29/$E$16</f>
        <v>9711.5656518050728</v>
      </c>
      <c r="G32" s="31"/>
      <c r="H32" s="49">
        <f>F32</f>
        <v>9711.5656518050728</v>
      </c>
      <c r="I32" s="49">
        <v>0</v>
      </c>
      <c r="J32" s="31"/>
      <c r="K32" s="49">
        <v>0</v>
      </c>
      <c r="L32" s="49">
        <v>0</v>
      </c>
      <c r="M32" s="31"/>
      <c r="N32" s="49">
        <v>0</v>
      </c>
      <c r="O32" s="49">
        <v>0</v>
      </c>
      <c r="P32" s="31"/>
      <c r="Q32" s="49">
        <v>0</v>
      </c>
      <c r="R32" s="49">
        <v>0</v>
      </c>
    </row>
    <row r="33" spans="2:18" x14ac:dyDescent="0.25">
      <c r="D33" s="21"/>
      <c r="G33" s="21"/>
      <c r="J33" s="21"/>
      <c r="M33" s="21"/>
      <c r="P33" s="21"/>
    </row>
    <row r="35" spans="2:18" x14ac:dyDescent="0.25">
      <c r="B35" s="27" t="s">
        <v>54</v>
      </c>
      <c r="C35" s="27"/>
      <c r="D35" s="27"/>
      <c r="E35" s="28"/>
      <c r="F35" s="28"/>
      <c r="G35" s="28"/>
      <c r="H35" s="28"/>
      <c r="I35" s="28"/>
      <c r="J35" s="28"/>
      <c r="K35" s="28"/>
      <c r="L35" s="28"/>
      <c r="M35" s="28"/>
      <c r="N35" s="28"/>
      <c r="O35" s="28"/>
      <c r="P35" s="28"/>
      <c r="Q35" s="28"/>
      <c r="R35" s="28"/>
    </row>
    <row r="36" spans="2:18" x14ac:dyDescent="0.25">
      <c r="B36" s="66" t="s">
        <v>45</v>
      </c>
      <c r="C36" s="67"/>
      <c r="D36" s="29"/>
      <c r="E36" s="64" t="s">
        <v>19</v>
      </c>
      <c r="F36" s="65"/>
      <c r="G36" s="30"/>
      <c r="H36" s="64" t="s">
        <v>21</v>
      </c>
      <c r="I36" s="65"/>
      <c r="J36" s="30"/>
      <c r="K36" s="64" t="s">
        <v>18</v>
      </c>
      <c r="L36" s="65"/>
      <c r="M36" s="30"/>
      <c r="N36" s="64" t="s">
        <v>22</v>
      </c>
      <c r="O36" s="65"/>
      <c r="P36" s="30"/>
      <c r="Q36" s="64" t="s">
        <v>36</v>
      </c>
      <c r="R36" s="65"/>
    </row>
    <row r="37" spans="2:18" x14ac:dyDescent="0.25">
      <c r="B37" s="68"/>
      <c r="C37" s="69"/>
      <c r="D37" s="30"/>
      <c r="E37" s="41" t="s">
        <v>43</v>
      </c>
      <c r="F37" s="41" t="s">
        <v>44</v>
      </c>
      <c r="G37" s="31"/>
      <c r="H37" s="41" t="s">
        <v>43</v>
      </c>
      <c r="I37" s="41" t="s">
        <v>44</v>
      </c>
      <c r="J37" s="31"/>
      <c r="K37" s="41" t="s">
        <v>43</v>
      </c>
      <c r="L37" s="41" t="s">
        <v>44</v>
      </c>
      <c r="M37" s="31"/>
      <c r="N37" s="41" t="s">
        <v>43</v>
      </c>
      <c r="O37" s="41" t="s">
        <v>44</v>
      </c>
      <c r="P37" s="31"/>
      <c r="Q37" s="41" t="s">
        <v>43</v>
      </c>
      <c r="R37" s="41" t="s">
        <v>44</v>
      </c>
    </row>
    <row r="38" spans="2:18" x14ac:dyDescent="0.25">
      <c r="B38" s="10">
        <v>2</v>
      </c>
      <c r="C38" s="36" t="s">
        <v>30</v>
      </c>
      <c r="D38" s="31"/>
      <c r="E38" s="49">
        <v>0</v>
      </c>
      <c r="F38" s="49">
        <v>0</v>
      </c>
      <c r="G38" s="21"/>
      <c r="H38" s="49">
        <v>0</v>
      </c>
      <c r="I38" s="49">
        <v>0</v>
      </c>
      <c r="J38" s="21"/>
      <c r="K38" s="49">
        <f>$E$17</f>
        <v>10000</v>
      </c>
      <c r="L38" s="49">
        <v>0</v>
      </c>
      <c r="M38" s="21"/>
      <c r="N38" s="49">
        <v>0</v>
      </c>
      <c r="O38" s="49">
        <v>0</v>
      </c>
      <c r="P38" s="21"/>
      <c r="Q38" s="49">
        <v>0</v>
      </c>
      <c r="R38" s="49">
        <f>K38</f>
        <v>10000</v>
      </c>
    </row>
    <row r="39" spans="2:18" x14ac:dyDescent="0.25">
      <c r="B39" s="10">
        <v>3</v>
      </c>
      <c r="C39" s="36" t="s">
        <v>31</v>
      </c>
      <c r="D39" s="31"/>
      <c r="E39" s="49">
        <v>0</v>
      </c>
      <c r="F39" s="49">
        <v>0</v>
      </c>
      <c r="G39" s="31"/>
      <c r="H39" s="49">
        <v>0</v>
      </c>
      <c r="I39" s="49">
        <v>0</v>
      </c>
      <c r="J39" s="31"/>
      <c r="K39" s="49">
        <v>0</v>
      </c>
      <c r="L39" s="49">
        <f>$E$17-($E$22-$E$23)</f>
        <v>291.26213592235035</v>
      </c>
      <c r="M39" s="31"/>
      <c r="N39" s="49">
        <f>L39</f>
        <v>291.26213592235035</v>
      </c>
      <c r="O39" s="49">
        <v>0</v>
      </c>
      <c r="P39" s="31"/>
      <c r="Q39" s="49">
        <v>0</v>
      </c>
      <c r="R39" s="49">
        <v>0</v>
      </c>
    </row>
    <row r="40" spans="2:18" x14ac:dyDescent="0.25">
      <c r="B40" s="10">
        <v>4</v>
      </c>
      <c r="C40" s="36" t="s">
        <v>21</v>
      </c>
      <c r="D40" s="31"/>
      <c r="E40" s="49">
        <v>0</v>
      </c>
      <c r="F40" s="49">
        <f>$E$29/$E$16</f>
        <v>9711.5656518050728</v>
      </c>
      <c r="G40" s="31"/>
      <c r="H40" s="49">
        <f>F40</f>
        <v>9711.5656518050728</v>
      </c>
      <c r="I40" s="49">
        <v>0</v>
      </c>
      <c r="J40" s="31"/>
      <c r="K40" s="49">
        <v>0</v>
      </c>
      <c r="L40" s="49">
        <v>0</v>
      </c>
      <c r="M40" s="31"/>
      <c r="N40" s="49">
        <v>0</v>
      </c>
      <c r="O40" s="49">
        <v>0</v>
      </c>
      <c r="P40" s="31"/>
      <c r="Q40" s="49">
        <v>0</v>
      </c>
      <c r="R40" s="49">
        <v>0</v>
      </c>
    </row>
    <row r="41" spans="2:18" x14ac:dyDescent="0.25">
      <c r="D41" s="21"/>
      <c r="G41" s="21"/>
      <c r="J41" s="21"/>
      <c r="M41" s="21"/>
      <c r="P41" s="21"/>
    </row>
    <row r="43" spans="2:18" x14ac:dyDescent="0.25">
      <c r="B43" s="27" t="s">
        <v>55</v>
      </c>
      <c r="C43" s="27"/>
      <c r="D43" s="27"/>
      <c r="E43" s="28"/>
      <c r="F43" s="28"/>
      <c r="G43" s="28"/>
      <c r="H43" s="28"/>
      <c r="I43" s="28"/>
      <c r="J43" s="28"/>
      <c r="K43" s="28"/>
      <c r="L43" s="28"/>
      <c r="M43" s="28"/>
      <c r="N43" s="28"/>
      <c r="O43" s="28"/>
      <c r="P43" s="28"/>
      <c r="Q43" s="28"/>
      <c r="R43" s="28"/>
    </row>
    <row r="44" spans="2:18" x14ac:dyDescent="0.25">
      <c r="B44" s="66" t="s">
        <v>45</v>
      </c>
      <c r="C44" s="67"/>
      <c r="D44" s="29"/>
      <c r="E44" s="64" t="s">
        <v>19</v>
      </c>
      <c r="F44" s="65"/>
      <c r="G44" s="30"/>
      <c r="H44" s="64" t="s">
        <v>21</v>
      </c>
      <c r="I44" s="65"/>
      <c r="J44" s="30"/>
      <c r="K44" s="64" t="s">
        <v>18</v>
      </c>
      <c r="L44" s="65"/>
      <c r="M44" s="30"/>
      <c r="N44" s="64" t="s">
        <v>22</v>
      </c>
      <c r="O44" s="65"/>
      <c r="P44" s="30"/>
      <c r="Q44" s="64" t="s">
        <v>36</v>
      </c>
      <c r="R44" s="65"/>
    </row>
    <row r="45" spans="2:18" x14ac:dyDescent="0.25">
      <c r="B45" s="68"/>
      <c r="C45" s="69"/>
      <c r="D45" s="30"/>
      <c r="E45" s="41" t="s">
        <v>43</v>
      </c>
      <c r="F45" s="41" t="s">
        <v>44</v>
      </c>
      <c r="G45" s="31"/>
      <c r="H45" s="41" t="s">
        <v>43</v>
      </c>
      <c r="I45" s="41" t="s">
        <v>44</v>
      </c>
      <c r="J45" s="31"/>
      <c r="K45" s="41" t="s">
        <v>43</v>
      </c>
      <c r="L45" s="41" t="s">
        <v>44</v>
      </c>
      <c r="M45" s="31"/>
      <c r="N45" s="41" t="s">
        <v>43</v>
      </c>
      <c r="O45" s="41" t="s">
        <v>44</v>
      </c>
      <c r="P45" s="31"/>
      <c r="Q45" s="41" t="s">
        <v>43</v>
      </c>
      <c r="R45" s="41" t="s">
        <v>44</v>
      </c>
    </row>
    <row r="46" spans="2:18" x14ac:dyDescent="0.25">
      <c r="B46" s="10">
        <v>2</v>
      </c>
      <c r="C46" s="36" t="s">
        <v>30</v>
      </c>
      <c r="D46" s="31"/>
      <c r="E46" s="49">
        <v>0</v>
      </c>
      <c r="F46" s="49">
        <v>0</v>
      </c>
      <c r="G46" s="21"/>
      <c r="H46" s="49">
        <v>0</v>
      </c>
      <c r="I46" s="49">
        <v>0</v>
      </c>
      <c r="J46" s="21"/>
      <c r="K46" s="49">
        <f>$E$17</f>
        <v>10000</v>
      </c>
      <c r="L46" s="49">
        <v>0</v>
      </c>
      <c r="M46" s="21"/>
      <c r="N46" s="49">
        <v>0</v>
      </c>
      <c r="O46" s="49">
        <v>0</v>
      </c>
      <c r="P46" s="21"/>
      <c r="Q46" s="49">
        <v>0</v>
      </c>
      <c r="R46" s="49">
        <f>K46</f>
        <v>10000</v>
      </c>
    </row>
    <row r="47" spans="2:18" x14ac:dyDescent="0.25">
      <c r="B47" s="10">
        <v>3</v>
      </c>
      <c r="C47" s="36" t="s">
        <v>31</v>
      </c>
      <c r="D47" s="31"/>
      <c r="E47" s="49">
        <v>0</v>
      </c>
      <c r="F47" s="49">
        <v>0</v>
      </c>
      <c r="G47" s="31"/>
      <c r="H47" s="49">
        <v>0</v>
      </c>
      <c r="I47" s="49">
        <v>0</v>
      </c>
      <c r="J47" s="31"/>
      <c r="K47" s="49">
        <v>0</v>
      </c>
      <c r="L47" s="49">
        <f>$E$17-($E$23)</f>
        <v>0</v>
      </c>
      <c r="M47" s="31"/>
      <c r="N47" s="49">
        <f>L47</f>
        <v>0</v>
      </c>
      <c r="O47" s="49">
        <v>0</v>
      </c>
      <c r="P47" s="31"/>
      <c r="Q47" s="49">
        <v>0</v>
      </c>
      <c r="R47" s="49">
        <v>0</v>
      </c>
    </row>
    <row r="48" spans="2:18" x14ac:dyDescent="0.25">
      <c r="B48" s="10">
        <v>4</v>
      </c>
      <c r="C48" s="36" t="s">
        <v>21</v>
      </c>
      <c r="D48" s="31"/>
      <c r="E48" s="49">
        <v>0</v>
      </c>
      <c r="F48" s="49">
        <f>$E$29/$E$16</f>
        <v>9711.5656518050728</v>
      </c>
      <c r="G48" s="31"/>
      <c r="H48" s="49">
        <f>F48</f>
        <v>9711.5656518050728</v>
      </c>
      <c r="I48" s="49">
        <v>0</v>
      </c>
      <c r="J48" s="31"/>
      <c r="K48" s="49">
        <v>0</v>
      </c>
      <c r="L48" s="49">
        <v>0</v>
      </c>
      <c r="M48" s="31"/>
      <c r="N48" s="49">
        <v>0</v>
      </c>
      <c r="O48" s="49">
        <v>0</v>
      </c>
      <c r="P48" s="31"/>
      <c r="Q48" s="49">
        <v>0</v>
      </c>
      <c r="R48" s="49">
        <v>0</v>
      </c>
    </row>
  </sheetData>
  <mergeCells count="29">
    <mergeCell ref="B24:H24"/>
    <mergeCell ref="N36:O36"/>
    <mergeCell ref="Q36:R36"/>
    <mergeCell ref="B44:C45"/>
    <mergeCell ref="E44:F44"/>
    <mergeCell ref="H44:I44"/>
    <mergeCell ref="K44:L44"/>
    <mergeCell ref="N44:O44"/>
    <mergeCell ref="Q44:R44"/>
    <mergeCell ref="H36:I36"/>
    <mergeCell ref="K36:L36"/>
    <mergeCell ref="B36:C37"/>
    <mergeCell ref="E36:F36"/>
    <mergeCell ref="B3:P4"/>
    <mergeCell ref="D7:K7"/>
    <mergeCell ref="L7:N7"/>
    <mergeCell ref="Q27:R27"/>
    <mergeCell ref="E27:F27"/>
    <mergeCell ref="H27:I27"/>
    <mergeCell ref="K27:L27"/>
    <mergeCell ref="N27:O27"/>
    <mergeCell ref="B27:C28"/>
    <mergeCell ref="B20:E20"/>
    <mergeCell ref="B15:E15"/>
    <mergeCell ref="B7:C7"/>
    <mergeCell ref="D8:K8"/>
    <mergeCell ref="D11:K11"/>
    <mergeCell ref="D10:K10"/>
    <mergeCell ref="D9:K9"/>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2B7DFA"/>
  </sheetPr>
  <dimension ref="A1:X157"/>
  <sheetViews>
    <sheetView tabSelected="1" workbookViewId="0">
      <selection activeCell="J13" sqref="J13"/>
    </sheetView>
  </sheetViews>
  <sheetFormatPr defaultColWidth="11.42578125" defaultRowHeight="15" x14ac:dyDescent="0.25"/>
  <cols>
    <col min="1" max="1" width="24" style="1" customWidth="1"/>
    <col min="2" max="2" width="24.28515625" style="1" customWidth="1"/>
    <col min="3" max="3" width="26.28515625" style="1" customWidth="1"/>
    <col min="4" max="4" width="9" style="1" customWidth="1"/>
    <col min="5" max="7" width="18" style="1" customWidth="1"/>
    <col min="8" max="8" width="22" style="1" customWidth="1"/>
    <col min="9" max="9" width="18" style="1" customWidth="1"/>
    <col min="10" max="10" width="16.42578125" style="1" customWidth="1"/>
    <col min="11" max="11" width="26" style="1" customWidth="1"/>
    <col min="12" max="12" width="33" style="1" customWidth="1"/>
    <col min="13" max="13" width="18" style="1" customWidth="1"/>
    <col min="14" max="14" width="11.140625" style="1" customWidth="1"/>
    <col min="15" max="15" width="18" style="1" customWidth="1"/>
    <col min="16" max="16" width="28.42578125" style="1" customWidth="1"/>
    <col min="17" max="17" width="26.7109375" style="1" customWidth="1"/>
    <col min="18" max="18" width="24.140625" style="1" customWidth="1"/>
    <col min="19" max="16384" width="11.42578125" style="1"/>
  </cols>
  <sheetData>
    <row r="1" spans="1:24" x14ac:dyDescent="0.25">
      <c r="A1" s="54" t="s">
        <v>90</v>
      </c>
      <c r="B1" s="54" t="s">
        <v>91</v>
      </c>
      <c r="S1" s="54"/>
      <c r="T1" s="54"/>
      <c r="U1" s="54"/>
      <c r="V1" s="54"/>
      <c r="W1" s="54"/>
    </row>
    <row r="2" spans="1:24" s="44" customFormat="1" ht="23.25" x14ac:dyDescent="0.35">
      <c r="A2" s="105" t="s">
        <v>92</v>
      </c>
      <c r="B2" s="105" t="s">
        <v>92</v>
      </c>
      <c r="D2" s="42" t="s">
        <v>61</v>
      </c>
      <c r="E2" s="42"/>
      <c r="F2" s="43"/>
      <c r="G2" s="43"/>
      <c r="H2" s="43"/>
      <c r="I2" s="43"/>
      <c r="J2" s="43"/>
      <c r="K2" s="43"/>
      <c r="L2" s="43"/>
      <c r="M2" s="43"/>
      <c r="N2" s="43"/>
      <c r="O2" s="43"/>
      <c r="R2" s="95"/>
      <c r="S2" s="95"/>
      <c r="T2" s="95"/>
      <c r="U2" s="95"/>
      <c r="V2" s="95"/>
      <c r="W2" s="95"/>
      <c r="X2" s="95"/>
    </row>
    <row r="3" spans="1:24" s="46" customFormat="1" ht="38.1" hidden="1" customHeight="1" x14ac:dyDescent="0.4">
      <c r="A3" s="56">
        <f>IF(D19&lt;=F$9,$A$4,0)</f>
        <v>100</v>
      </c>
      <c r="B3" s="56">
        <f>IF(D19&lt;=F$9,$B$4,0)</f>
        <v>40</v>
      </c>
      <c r="D3" s="76" t="s">
        <v>88</v>
      </c>
      <c r="E3" s="76"/>
      <c r="F3" s="76"/>
      <c r="G3" s="76"/>
      <c r="H3" s="76"/>
      <c r="I3" s="76"/>
      <c r="J3" s="76"/>
      <c r="K3" s="76"/>
      <c r="L3" s="76"/>
      <c r="M3" s="76"/>
      <c r="N3" s="76"/>
      <c r="O3" s="45"/>
      <c r="R3" s="96"/>
      <c r="S3" s="96"/>
      <c r="T3" s="96"/>
      <c r="U3" s="96"/>
      <c r="V3" s="96"/>
      <c r="W3" s="96"/>
      <c r="X3" s="96"/>
    </row>
    <row r="4" spans="1:24" s="46" customFormat="1" ht="20.100000000000001" customHeight="1" x14ac:dyDescent="0.25">
      <c r="A4" s="104">
        <v>100</v>
      </c>
      <c r="B4" s="104">
        <v>40</v>
      </c>
      <c r="D4" s="76"/>
      <c r="E4" s="76"/>
      <c r="F4" s="76"/>
      <c r="G4" s="76"/>
      <c r="H4" s="76"/>
      <c r="I4" s="76"/>
      <c r="J4" s="76"/>
      <c r="K4" s="76"/>
      <c r="L4" s="76"/>
      <c r="M4" s="76"/>
      <c r="N4" s="76"/>
      <c r="O4" s="45"/>
      <c r="R4" s="96"/>
      <c r="S4" s="96"/>
      <c r="T4" s="96"/>
      <c r="U4" s="96"/>
      <c r="V4" s="96"/>
      <c r="W4" s="96"/>
      <c r="X4" s="96"/>
    </row>
    <row r="5" spans="1:24" ht="20.100000000000001" customHeight="1" x14ac:dyDescent="0.25">
      <c r="A5" s="104"/>
      <c r="B5" s="104"/>
      <c r="R5" s="97"/>
      <c r="S5" s="97"/>
      <c r="T5" s="97"/>
      <c r="U5" s="97"/>
      <c r="V5" s="97"/>
      <c r="W5" s="97"/>
      <c r="X5" s="97"/>
    </row>
    <row r="6" spans="1:24" ht="20.100000000000001" customHeight="1" x14ac:dyDescent="0.35">
      <c r="A6" s="55"/>
      <c r="B6" s="55"/>
      <c r="D6" s="3" t="s">
        <v>25</v>
      </c>
      <c r="J6" s="53"/>
      <c r="K6" s="53"/>
      <c r="L6" s="53"/>
      <c r="R6" s="97"/>
      <c r="S6" s="97"/>
      <c r="T6" s="97"/>
      <c r="U6" s="97"/>
      <c r="V6" s="97"/>
      <c r="W6" s="97"/>
      <c r="X6" s="97"/>
    </row>
    <row r="7" spans="1:24" ht="20.100000000000001" customHeight="1" x14ac:dyDescent="0.25">
      <c r="A7" s="55"/>
      <c r="B7" s="55"/>
      <c r="D7" s="90" t="s">
        <v>15</v>
      </c>
      <c r="E7" s="91"/>
      <c r="F7" s="47" t="s">
        <v>89</v>
      </c>
      <c r="J7" s="53"/>
      <c r="K7" s="53"/>
      <c r="L7" s="53"/>
      <c r="R7" s="97"/>
      <c r="S7" s="97"/>
      <c r="T7" s="97"/>
      <c r="U7" s="97"/>
      <c r="V7" s="97"/>
      <c r="W7" s="97"/>
      <c r="X7" s="97"/>
    </row>
    <row r="8" spans="1:24" ht="20.100000000000001" customHeight="1" x14ac:dyDescent="0.25">
      <c r="A8" s="55"/>
      <c r="B8" s="55"/>
      <c r="D8" s="89" t="s">
        <v>64</v>
      </c>
      <c r="E8" s="89"/>
      <c r="F8" s="14">
        <v>43466</v>
      </c>
      <c r="G8" s="11"/>
      <c r="J8" s="53"/>
      <c r="K8" s="53"/>
      <c r="L8" s="53"/>
      <c r="R8" s="97"/>
      <c r="S8" s="97"/>
      <c r="T8" s="97"/>
      <c r="U8" s="97"/>
      <c r="V8" s="97"/>
      <c r="W8" s="97"/>
      <c r="X8" s="97"/>
    </row>
    <row r="9" spans="1:24" ht="20.100000000000001" customHeight="1" x14ac:dyDescent="0.25">
      <c r="A9" s="55"/>
      <c r="B9" s="55"/>
      <c r="D9" s="89" t="s">
        <v>65</v>
      </c>
      <c r="E9" s="89"/>
      <c r="F9" s="2">
        <v>60</v>
      </c>
      <c r="G9" s="11" t="s">
        <v>62</v>
      </c>
      <c r="J9" s="53"/>
      <c r="K9" s="53"/>
      <c r="L9" s="53"/>
      <c r="R9" s="97"/>
      <c r="S9" s="97"/>
      <c r="T9" s="97"/>
      <c r="U9" s="97"/>
      <c r="V9" s="97"/>
      <c r="W9" s="97"/>
      <c r="X9" s="97"/>
    </row>
    <row r="10" spans="1:24" ht="20.100000000000001" customHeight="1" x14ac:dyDescent="0.25">
      <c r="A10" s="55"/>
      <c r="B10" s="55"/>
      <c r="D10" s="89" t="s">
        <v>66</v>
      </c>
      <c r="E10" s="89"/>
      <c r="F10" s="49">
        <v>1000</v>
      </c>
      <c r="G10" s="11" t="s">
        <v>63</v>
      </c>
      <c r="J10" s="52"/>
      <c r="R10" s="97"/>
      <c r="S10" s="97"/>
      <c r="T10" s="97"/>
      <c r="U10" s="97"/>
      <c r="V10" s="97"/>
      <c r="W10" s="97"/>
      <c r="X10" s="97"/>
    </row>
    <row r="11" spans="1:24" ht="20.100000000000001" customHeight="1" x14ac:dyDescent="0.25">
      <c r="A11" s="55"/>
      <c r="B11" s="55"/>
      <c r="D11" s="89" t="s">
        <v>67</v>
      </c>
      <c r="E11" s="89"/>
      <c r="F11" s="51">
        <v>250</v>
      </c>
      <c r="G11" s="57">
        <v>40</v>
      </c>
      <c r="R11" s="97"/>
      <c r="S11" s="97"/>
      <c r="T11" s="97"/>
      <c r="U11" s="97"/>
      <c r="V11" s="97"/>
      <c r="W11" s="97"/>
      <c r="X11" s="97"/>
    </row>
    <row r="12" spans="1:24" ht="20.100000000000001" customHeight="1" x14ac:dyDescent="0.25">
      <c r="A12" s="55"/>
      <c r="B12" s="55"/>
      <c r="D12" s="89">
        <v>1</v>
      </c>
      <c r="E12" s="89"/>
      <c r="F12" s="57">
        <v>20</v>
      </c>
      <c r="P12" s="54"/>
      <c r="Q12" s="54"/>
      <c r="R12" s="97"/>
      <c r="S12" s="97"/>
      <c r="T12" s="97"/>
      <c r="U12" s="97"/>
      <c r="V12" s="97"/>
      <c r="W12" s="97"/>
      <c r="X12" s="97"/>
    </row>
    <row r="13" spans="1:24" ht="20.100000000000001" customHeight="1" x14ac:dyDescent="0.25">
      <c r="A13" s="55"/>
      <c r="B13" s="55"/>
      <c r="D13" s="89" t="s">
        <v>48</v>
      </c>
      <c r="E13" s="89"/>
      <c r="F13" s="12">
        <v>0.03</v>
      </c>
      <c r="R13" s="97"/>
      <c r="S13" s="97"/>
      <c r="T13" s="97"/>
      <c r="U13" s="97"/>
      <c r="V13" s="97"/>
      <c r="W13" s="97"/>
      <c r="X13" s="97"/>
    </row>
    <row r="14" spans="1:24" x14ac:dyDescent="0.25">
      <c r="A14" s="55"/>
      <c r="B14" s="55"/>
      <c r="D14" s="21"/>
      <c r="E14" s="21"/>
      <c r="F14" s="22"/>
    </row>
    <row r="15" spans="1:24" x14ac:dyDescent="0.25">
      <c r="A15" s="55"/>
      <c r="B15" s="55"/>
    </row>
    <row r="16" spans="1:24" ht="23.25" x14ac:dyDescent="0.35">
      <c r="A16" s="55"/>
      <c r="B16" s="55"/>
      <c r="D16" s="3" t="s">
        <v>60</v>
      </c>
      <c r="N16" s="3" t="s">
        <v>23</v>
      </c>
      <c r="O16" s="28"/>
      <c r="P16" s="28"/>
      <c r="Q16" s="28"/>
      <c r="R16" s="28"/>
      <c r="S16" s="28"/>
      <c r="T16" s="28"/>
      <c r="U16" s="28"/>
      <c r="V16" s="28"/>
    </row>
    <row r="17" spans="1:22" s="28" customFormat="1" x14ac:dyDescent="0.25">
      <c r="A17" s="55"/>
      <c r="B17" s="55"/>
      <c r="D17" s="92" t="s">
        <v>70</v>
      </c>
      <c r="E17" s="92" t="s">
        <v>75</v>
      </c>
      <c r="F17" s="92" t="s">
        <v>72</v>
      </c>
      <c r="G17" s="92" t="s">
        <v>71</v>
      </c>
      <c r="H17" s="92" t="s">
        <v>27</v>
      </c>
      <c r="I17" s="92" t="s">
        <v>18</v>
      </c>
      <c r="J17" s="92"/>
      <c r="K17" s="92" t="s">
        <v>19</v>
      </c>
      <c r="L17" s="92"/>
      <c r="N17" s="77" t="s">
        <v>18</v>
      </c>
      <c r="O17" s="78"/>
      <c r="P17" s="78"/>
      <c r="Q17" s="78"/>
      <c r="R17" s="78"/>
      <c r="S17" s="78"/>
      <c r="T17" s="78"/>
      <c r="U17" s="78"/>
      <c r="V17" s="79"/>
    </row>
    <row r="18" spans="1:22" x14ac:dyDescent="0.25">
      <c r="A18" s="55"/>
      <c r="B18" s="55"/>
      <c r="D18" s="92"/>
      <c r="E18" s="92"/>
      <c r="F18" s="92"/>
      <c r="G18" s="92"/>
      <c r="H18" s="92"/>
      <c r="I18" s="48" t="s">
        <v>74</v>
      </c>
      <c r="J18" s="48" t="s">
        <v>73</v>
      </c>
      <c r="K18" s="48" t="s">
        <v>74</v>
      </c>
      <c r="L18" s="48" t="s">
        <v>20</v>
      </c>
      <c r="N18" s="80" t="s">
        <v>84</v>
      </c>
      <c r="O18" s="81"/>
      <c r="P18" s="81"/>
      <c r="Q18" s="81"/>
      <c r="R18" s="81"/>
      <c r="S18" s="81"/>
      <c r="T18" s="81"/>
      <c r="U18" s="81"/>
      <c r="V18" s="82"/>
    </row>
    <row r="19" spans="1:22" ht="15" customHeight="1" x14ac:dyDescent="0.25">
      <c r="A19" s="55"/>
      <c r="B19" s="55"/>
      <c r="D19" s="10">
        <v>1</v>
      </c>
      <c r="E19" s="15">
        <v>43466</v>
      </c>
      <c r="F19" s="103">
        <v>50</v>
      </c>
      <c r="G19" s="51">
        <v>40</v>
      </c>
      <c r="H19" s="50">
        <f>XNPV($F$13,$F19:$F$78,$E19:$E$78)</f>
        <v>2828.3191367062568</v>
      </c>
      <c r="I19" s="49">
        <f>H19</f>
        <v>2828.3191367062568</v>
      </c>
      <c r="J19" s="49">
        <f t="shared" ref="J19:J60" si="0">I19-I20</f>
        <v>0</v>
      </c>
      <c r="K19" s="100">
        <v>1000</v>
      </c>
      <c r="L19" s="100">
        <v>41.67</v>
      </c>
      <c r="N19" s="83"/>
      <c r="O19" s="84"/>
      <c r="P19" s="84"/>
      <c r="Q19" s="84"/>
      <c r="R19" s="84"/>
      <c r="S19" s="84"/>
      <c r="T19" s="84"/>
      <c r="U19" s="84"/>
      <c r="V19" s="85"/>
    </row>
    <row r="20" spans="1:22" ht="15" customHeight="1" x14ac:dyDescent="0.25">
      <c r="A20" s="55"/>
      <c r="B20" s="55"/>
      <c r="D20" s="10">
        <v>2</v>
      </c>
      <c r="E20" s="15">
        <v>43497</v>
      </c>
      <c r="F20" s="103">
        <v>50</v>
      </c>
      <c r="G20" s="51">
        <v>40</v>
      </c>
      <c r="H20" s="50">
        <f>XNPV($F$13,$F19:$F$78,$E19:$E$78)</f>
        <v>2828.3191367062568</v>
      </c>
      <c r="I20" s="49">
        <f t="shared" ref="I20:I60" si="1">H20</f>
        <v>2828.3191367062568</v>
      </c>
      <c r="J20" s="49">
        <f t="shared" si="0"/>
        <v>86.806937050871056</v>
      </c>
      <c r="K20" s="100">
        <v>958.33</v>
      </c>
      <c r="L20" s="100">
        <v>41.67</v>
      </c>
      <c r="N20" s="83"/>
      <c r="O20" s="84"/>
      <c r="P20" s="84"/>
      <c r="Q20" s="84"/>
      <c r="R20" s="84"/>
      <c r="S20" s="84"/>
      <c r="T20" s="84"/>
      <c r="U20" s="84"/>
      <c r="V20" s="85"/>
    </row>
    <row r="21" spans="1:22" x14ac:dyDescent="0.25">
      <c r="A21" s="55"/>
      <c r="B21" s="55"/>
      <c r="D21" s="10">
        <v>3</v>
      </c>
      <c r="E21" s="15">
        <v>43525</v>
      </c>
      <c r="F21" s="103">
        <v>50</v>
      </c>
      <c r="G21" s="51">
        <v>40</v>
      </c>
      <c r="H21" s="50">
        <f>XNPV($F$13,$F21:$F$78,$E21:$E$78)</f>
        <v>2741.5121996553858</v>
      </c>
      <c r="I21" s="49">
        <f t="shared" si="1"/>
        <v>2741.5121996553858</v>
      </c>
      <c r="J21" s="49">
        <f t="shared" si="0"/>
        <v>43.234540938247846</v>
      </c>
      <c r="K21" s="100">
        <v>916.67</v>
      </c>
      <c r="L21" s="100">
        <v>41.67</v>
      </c>
      <c r="N21" s="83"/>
      <c r="O21" s="84"/>
      <c r="P21" s="84"/>
      <c r="Q21" s="84"/>
      <c r="R21" s="84"/>
      <c r="S21" s="84"/>
      <c r="T21" s="84"/>
      <c r="U21" s="84"/>
      <c r="V21" s="85"/>
    </row>
    <row r="22" spans="1:22" x14ac:dyDescent="0.25">
      <c r="D22" s="10">
        <v>4</v>
      </c>
      <c r="E22" s="15">
        <v>43556</v>
      </c>
      <c r="F22" s="103">
        <v>50</v>
      </c>
      <c r="G22" s="51">
        <v>40</v>
      </c>
      <c r="H22" s="50">
        <f>XNPV($F$13,$F22:$F$78,$E22:$E$78)</f>
        <v>2698.2776587171379</v>
      </c>
      <c r="I22" s="49">
        <f t="shared" si="1"/>
        <v>2698.2776587171379</v>
      </c>
      <c r="J22" s="49">
        <f t="shared" si="0"/>
        <v>-130.0414779891189</v>
      </c>
      <c r="K22" s="100">
        <v>875</v>
      </c>
      <c r="L22" s="100">
        <v>41.67</v>
      </c>
      <c r="N22" s="86"/>
      <c r="O22" s="87"/>
      <c r="P22" s="87"/>
      <c r="Q22" s="87"/>
      <c r="R22" s="87"/>
      <c r="S22" s="87"/>
      <c r="T22" s="87"/>
      <c r="U22" s="87"/>
      <c r="V22" s="88"/>
    </row>
    <row r="23" spans="1:22" x14ac:dyDescent="0.25">
      <c r="D23" s="10">
        <v>5</v>
      </c>
      <c r="E23" s="15">
        <v>43586</v>
      </c>
      <c r="F23" s="103">
        <v>50</v>
      </c>
      <c r="G23" s="51">
        <v>100</v>
      </c>
      <c r="H23" s="50">
        <f>XNPV($F$13,$F19:$F$78,$E19:$E$78)</f>
        <v>2828.3191367062568</v>
      </c>
      <c r="I23" s="49">
        <f t="shared" si="1"/>
        <v>2828.3191367062568</v>
      </c>
      <c r="J23" s="49">
        <f t="shared" si="0"/>
        <v>217.05239595021203</v>
      </c>
      <c r="K23" s="100">
        <v>833.33</v>
      </c>
      <c r="L23" s="100">
        <v>41.67</v>
      </c>
    </row>
    <row r="24" spans="1:22" x14ac:dyDescent="0.25">
      <c r="D24" s="10">
        <v>6</v>
      </c>
      <c r="E24" s="15">
        <v>43617</v>
      </c>
      <c r="F24" s="103">
        <v>50</v>
      </c>
      <c r="G24" s="51">
        <v>40</v>
      </c>
      <c r="H24" s="50">
        <f>XNPV($F$13,$F24:$F$78,$E24:$E$78)</f>
        <v>2611.2667407560448</v>
      </c>
      <c r="I24" s="49">
        <f t="shared" si="1"/>
        <v>2611.2667407560448</v>
      </c>
      <c r="J24" s="49">
        <f t="shared" si="0"/>
        <v>43.769861574599872</v>
      </c>
      <c r="K24" s="100">
        <v>791.67</v>
      </c>
      <c r="L24" s="100">
        <v>41.67</v>
      </c>
      <c r="N24" s="77" t="s">
        <v>68</v>
      </c>
      <c r="O24" s="78"/>
      <c r="P24" s="78"/>
      <c r="Q24" s="78"/>
      <c r="R24" s="78"/>
      <c r="S24" s="78"/>
      <c r="T24" s="78"/>
      <c r="U24" s="78"/>
      <c r="V24" s="79"/>
    </row>
    <row r="25" spans="1:22" x14ac:dyDescent="0.25">
      <c r="D25" s="10">
        <v>7</v>
      </c>
      <c r="E25" s="15">
        <v>43647</v>
      </c>
      <c r="F25" s="103">
        <v>50</v>
      </c>
      <c r="G25" s="51">
        <v>40</v>
      </c>
      <c r="H25" s="50">
        <f>XNPV($F$13,$F25:$F$78,$E25:$E$78)</f>
        <v>2567.4968791814449</v>
      </c>
      <c r="I25" s="49">
        <f t="shared" si="1"/>
        <v>2567.4968791814449</v>
      </c>
      <c r="J25" s="49">
        <f t="shared" si="0"/>
        <v>43.671950631927757</v>
      </c>
      <c r="K25" s="100">
        <v>750</v>
      </c>
      <c r="L25" s="100">
        <v>41.67</v>
      </c>
      <c r="N25" s="80" t="s">
        <v>85</v>
      </c>
      <c r="O25" s="81"/>
      <c r="P25" s="81"/>
      <c r="Q25" s="81"/>
      <c r="R25" s="81"/>
      <c r="S25" s="81"/>
      <c r="T25" s="81"/>
      <c r="U25" s="81"/>
      <c r="V25" s="82"/>
    </row>
    <row r="26" spans="1:22" ht="15" customHeight="1" x14ac:dyDescent="0.25">
      <c r="D26" s="10">
        <v>8</v>
      </c>
      <c r="E26" s="15">
        <v>43678</v>
      </c>
      <c r="F26" s="103">
        <v>50</v>
      </c>
      <c r="G26" s="51">
        <v>40</v>
      </c>
      <c r="H26" s="50">
        <f>XNPV($F$13,$F26:$F$78,$E26:$E$78)</f>
        <v>2523.8249285495172</v>
      </c>
      <c r="I26" s="49">
        <f t="shared" si="1"/>
        <v>2523.8249285495172</v>
      </c>
      <c r="J26" s="49">
        <f t="shared" si="0"/>
        <v>43.781725647691474</v>
      </c>
      <c r="K26" s="100">
        <v>708.33</v>
      </c>
      <c r="L26" s="100">
        <v>41.67</v>
      </c>
      <c r="N26" s="83"/>
      <c r="O26" s="84"/>
      <c r="P26" s="84"/>
      <c r="Q26" s="84"/>
      <c r="R26" s="84"/>
      <c r="S26" s="84"/>
      <c r="T26" s="84"/>
      <c r="U26" s="84"/>
      <c r="V26" s="85"/>
    </row>
    <row r="27" spans="1:22" x14ac:dyDescent="0.25">
      <c r="D27" s="10">
        <v>9</v>
      </c>
      <c r="E27" s="15">
        <v>43709</v>
      </c>
      <c r="F27" s="103">
        <v>50</v>
      </c>
      <c r="G27" s="51">
        <v>40</v>
      </c>
      <c r="H27" s="50">
        <f>XNPV($F$13,$F27:$F$78,$E27:$E$78)</f>
        <v>2480.0432029018257</v>
      </c>
      <c r="I27" s="49">
        <f t="shared" si="1"/>
        <v>2480.0432029018257</v>
      </c>
      <c r="J27" s="49">
        <f t="shared" si="0"/>
        <v>44.089055508013189</v>
      </c>
      <c r="K27" s="100">
        <v>666.67</v>
      </c>
      <c r="L27" s="100">
        <v>41.67</v>
      </c>
      <c r="N27" s="83"/>
      <c r="O27" s="84"/>
      <c r="P27" s="84"/>
      <c r="Q27" s="84"/>
      <c r="R27" s="84"/>
      <c r="S27" s="84"/>
      <c r="T27" s="84"/>
      <c r="U27" s="84"/>
      <c r="V27" s="85"/>
    </row>
    <row r="28" spans="1:22" x14ac:dyDescent="0.25">
      <c r="D28" s="10">
        <v>10</v>
      </c>
      <c r="E28" s="15">
        <v>43739</v>
      </c>
      <c r="F28" s="103">
        <v>50</v>
      </c>
      <c r="G28" s="51">
        <v>40</v>
      </c>
      <c r="H28" s="50">
        <f>XNPV($F$13,$F28:$F$78,$E28:$E$78)</f>
        <v>2435.9541473938125</v>
      </c>
      <c r="I28" s="49">
        <f t="shared" si="1"/>
        <v>2435.9541473938125</v>
      </c>
      <c r="J28" s="49">
        <f t="shared" si="0"/>
        <v>44.002600059001907</v>
      </c>
      <c r="K28" s="100">
        <v>625</v>
      </c>
      <c r="L28" s="100">
        <v>41.67</v>
      </c>
      <c r="N28" s="83"/>
      <c r="O28" s="84"/>
      <c r="P28" s="84"/>
      <c r="Q28" s="84"/>
      <c r="R28" s="84"/>
      <c r="S28" s="84"/>
      <c r="T28" s="84"/>
      <c r="U28" s="84"/>
      <c r="V28" s="85"/>
    </row>
    <row r="29" spans="1:22" x14ac:dyDescent="0.25">
      <c r="D29" s="10">
        <v>11</v>
      </c>
      <c r="E29" s="15">
        <v>43770</v>
      </c>
      <c r="F29" s="103">
        <v>50</v>
      </c>
      <c r="G29" s="51">
        <v>40</v>
      </c>
      <c r="H29" s="50">
        <f>XNPV($F$13,$F29:$F$78,$E29:$E$78)</f>
        <v>2391.9515473348106</v>
      </c>
      <c r="I29" s="49">
        <f t="shared" si="1"/>
        <v>2391.9515473348106</v>
      </c>
      <c r="J29" s="49">
        <f t="shared" si="0"/>
        <v>44.303333544568886</v>
      </c>
      <c r="K29" s="100">
        <v>583.33000000000004</v>
      </c>
      <c r="L29" s="100">
        <v>41.67</v>
      </c>
      <c r="N29" s="86"/>
      <c r="O29" s="87"/>
      <c r="P29" s="87"/>
      <c r="Q29" s="87"/>
      <c r="R29" s="87"/>
      <c r="S29" s="87"/>
      <c r="T29" s="87"/>
      <c r="U29" s="87"/>
      <c r="V29" s="88"/>
    </row>
    <row r="30" spans="1:22" x14ac:dyDescent="0.25">
      <c r="D30" s="10">
        <v>12</v>
      </c>
      <c r="E30" s="15">
        <v>43800</v>
      </c>
      <c r="F30" s="103">
        <v>50</v>
      </c>
      <c r="G30" s="51">
        <v>40</v>
      </c>
      <c r="H30" s="50">
        <f>XNPV($F$13,$F30:$F$78,$E30:$E$78)</f>
        <v>2347.6482137902417</v>
      </c>
      <c r="I30" s="49">
        <f t="shared" si="1"/>
        <v>2347.6482137902417</v>
      </c>
      <c r="J30" s="49">
        <f t="shared" si="0"/>
        <v>44.224568281468692</v>
      </c>
      <c r="K30" s="100">
        <v>541.66999999999996</v>
      </c>
      <c r="L30" s="100">
        <v>41.67</v>
      </c>
    </row>
    <row r="31" spans="1:22" ht="15" customHeight="1" x14ac:dyDescent="0.25">
      <c r="D31" s="10">
        <v>13</v>
      </c>
      <c r="E31" s="15">
        <v>43831</v>
      </c>
      <c r="F31" s="103">
        <v>50</v>
      </c>
      <c r="G31" s="51">
        <v>40</v>
      </c>
      <c r="H31" s="50">
        <f>XNPV($F$13,$F31:$F$78,$E31:$E$78)</f>
        <v>2303.423645508773</v>
      </c>
      <c r="I31" s="49">
        <f t="shared" si="1"/>
        <v>2303.423645508773</v>
      </c>
      <c r="J31" s="49">
        <f t="shared" si="0"/>
        <v>44.335732372149323</v>
      </c>
      <c r="K31" s="100">
        <v>500</v>
      </c>
      <c r="L31" s="100">
        <v>41.67</v>
      </c>
      <c r="N31" s="77" t="s">
        <v>19</v>
      </c>
      <c r="O31" s="78"/>
      <c r="P31" s="78"/>
      <c r="Q31" s="78"/>
      <c r="R31" s="78"/>
      <c r="S31" s="78"/>
      <c r="T31" s="78"/>
      <c r="U31" s="78"/>
      <c r="V31" s="79"/>
    </row>
    <row r="32" spans="1:22" ht="15" customHeight="1" x14ac:dyDescent="0.25">
      <c r="D32" s="10">
        <v>14</v>
      </c>
      <c r="E32" s="15">
        <v>43862</v>
      </c>
      <c r="F32" s="103">
        <v>50</v>
      </c>
      <c r="G32" s="51">
        <v>40</v>
      </c>
      <c r="H32" s="50">
        <f>XNPV($F$13,$F32:$F$78,$E32:$E$78)</f>
        <v>2259.0879131366237</v>
      </c>
      <c r="I32" s="49">
        <f t="shared" si="1"/>
        <v>2259.0879131366237</v>
      </c>
      <c r="J32" s="49">
        <f t="shared" si="0"/>
        <v>44.805843430705409</v>
      </c>
      <c r="K32" s="100">
        <v>458.33</v>
      </c>
      <c r="L32" s="100">
        <v>41.67</v>
      </c>
      <c r="N32" s="80" t="s">
        <v>86</v>
      </c>
      <c r="O32" s="81"/>
      <c r="P32" s="81"/>
      <c r="Q32" s="81"/>
      <c r="R32" s="81"/>
      <c r="S32" s="81"/>
      <c r="T32" s="81"/>
      <c r="U32" s="81"/>
      <c r="V32" s="82"/>
    </row>
    <row r="33" spans="4:22" x14ac:dyDescent="0.25">
      <c r="D33" s="10">
        <v>15</v>
      </c>
      <c r="E33" s="15">
        <v>43891</v>
      </c>
      <c r="F33" s="103">
        <v>50</v>
      </c>
      <c r="G33" s="51">
        <v>40</v>
      </c>
      <c r="H33" s="50">
        <f>XNPV($F$13,$F33:$F$78,$E33:$E$78)</f>
        <v>2214.2820697059183</v>
      </c>
      <c r="I33" s="49">
        <f t="shared" si="1"/>
        <v>2214.2820697059183</v>
      </c>
      <c r="J33" s="49">
        <f t="shared" si="0"/>
        <v>44.559801087822507</v>
      </c>
      <c r="K33" s="100">
        <v>416.67</v>
      </c>
      <c r="L33" s="100">
        <v>41.67</v>
      </c>
      <c r="N33" s="83"/>
      <c r="O33" s="84"/>
      <c r="P33" s="84"/>
      <c r="Q33" s="84"/>
      <c r="R33" s="84"/>
      <c r="S33" s="84"/>
      <c r="T33" s="84"/>
      <c r="U33" s="84"/>
      <c r="V33" s="85"/>
    </row>
    <row r="34" spans="4:22" x14ac:dyDescent="0.25">
      <c r="D34" s="10">
        <v>16</v>
      </c>
      <c r="E34" s="15">
        <v>43922</v>
      </c>
      <c r="F34" s="103">
        <v>50</v>
      </c>
      <c r="G34" s="51">
        <v>40</v>
      </c>
      <c r="H34" s="50">
        <f>XNPV($F$13,$F34:$F$78,$E34:$E$78)</f>
        <v>2169.7222686180958</v>
      </c>
      <c r="I34" s="49">
        <f t="shared" si="1"/>
        <v>2169.7222686180958</v>
      </c>
      <c r="J34" s="49">
        <f t="shared" si="0"/>
        <v>44.843893864410802</v>
      </c>
      <c r="K34" s="100">
        <v>375</v>
      </c>
      <c r="L34" s="100">
        <v>41.67</v>
      </c>
      <c r="N34" s="83"/>
      <c r="O34" s="84"/>
      <c r="P34" s="84"/>
      <c r="Q34" s="84"/>
      <c r="R34" s="84"/>
      <c r="S34" s="84"/>
      <c r="T34" s="84"/>
      <c r="U34" s="84"/>
      <c r="V34" s="85"/>
    </row>
    <row r="35" spans="4:22" x14ac:dyDescent="0.25">
      <c r="D35" s="10">
        <v>17</v>
      </c>
      <c r="E35" s="15">
        <v>43952</v>
      </c>
      <c r="F35" s="103">
        <v>50</v>
      </c>
      <c r="G35" s="51">
        <v>40</v>
      </c>
      <c r="H35" s="50">
        <f>XNPV($F$13,$F35:$F$78,$E35:$E$78)</f>
        <v>2124.878374753685</v>
      </c>
      <c r="I35" s="49">
        <f t="shared" si="1"/>
        <v>2124.878374753685</v>
      </c>
      <c r="J35" s="49">
        <f t="shared" si="0"/>
        <v>44.784528673394561</v>
      </c>
      <c r="K35" s="100">
        <v>333.33</v>
      </c>
      <c r="L35" s="100">
        <v>41.67</v>
      </c>
      <c r="N35" s="83"/>
      <c r="O35" s="84"/>
      <c r="P35" s="84"/>
      <c r="Q35" s="84"/>
      <c r="R35" s="84"/>
      <c r="S35" s="84"/>
      <c r="T35" s="84"/>
      <c r="U35" s="84"/>
      <c r="V35" s="85"/>
    </row>
    <row r="36" spans="4:22" x14ac:dyDescent="0.25">
      <c r="D36" s="10">
        <v>18</v>
      </c>
      <c r="E36" s="15">
        <v>43983</v>
      </c>
      <c r="F36" s="103">
        <v>50</v>
      </c>
      <c r="G36" s="51">
        <v>40</v>
      </c>
      <c r="H36" s="50">
        <f>XNPV($F$13,$F36:$F$78,$E36:$E$78)</f>
        <v>2080.0938460802904</v>
      </c>
      <c r="I36" s="49">
        <f t="shared" si="1"/>
        <v>2080.0938460802904</v>
      </c>
      <c r="J36" s="49">
        <f t="shared" si="0"/>
        <v>45.061910000870512</v>
      </c>
      <c r="K36" s="100">
        <v>291.67</v>
      </c>
      <c r="L36" s="100">
        <v>41.67</v>
      </c>
      <c r="N36" s="86"/>
      <c r="O36" s="87"/>
      <c r="P36" s="87"/>
      <c r="Q36" s="87"/>
      <c r="R36" s="87"/>
      <c r="S36" s="87"/>
      <c r="T36" s="87"/>
      <c r="U36" s="87"/>
      <c r="V36" s="88"/>
    </row>
    <row r="37" spans="4:22" x14ac:dyDescent="0.25">
      <c r="D37" s="10">
        <v>19</v>
      </c>
      <c r="E37" s="15">
        <v>44013</v>
      </c>
      <c r="F37" s="103">
        <v>50</v>
      </c>
      <c r="G37" s="51">
        <v>40</v>
      </c>
      <c r="H37" s="50">
        <f>XNPV($F$13,$F37:$F$78,$E37:$E$78)</f>
        <v>2035.0319360794199</v>
      </c>
      <c r="I37" s="49">
        <f t="shared" si="1"/>
        <v>2035.0319360794199</v>
      </c>
      <c r="J37" s="49">
        <f t="shared" si="0"/>
        <v>45.01036915175996</v>
      </c>
      <c r="K37" s="100">
        <v>250</v>
      </c>
      <c r="L37" s="100">
        <v>41.67</v>
      </c>
    </row>
    <row r="38" spans="4:22" x14ac:dyDescent="0.25">
      <c r="D38" s="10">
        <v>20</v>
      </c>
      <c r="E38" s="15">
        <v>44044</v>
      </c>
      <c r="F38" s="103">
        <v>50</v>
      </c>
      <c r="G38" s="51">
        <v>40</v>
      </c>
      <c r="H38" s="50">
        <f>XNPV($F$13,$F38:$F$78,$E38:$E$78)</f>
        <v>1990.0215669276599</v>
      </c>
      <c r="I38" s="49">
        <f t="shared" si="1"/>
        <v>1990.0215669276599</v>
      </c>
      <c r="J38" s="49">
        <f t="shared" si="0"/>
        <v>45.123508453111981</v>
      </c>
      <c r="K38" s="100">
        <v>208.33</v>
      </c>
      <c r="L38" s="100">
        <v>41.67</v>
      </c>
      <c r="N38" s="77" t="s">
        <v>21</v>
      </c>
      <c r="O38" s="78"/>
      <c r="P38" s="78"/>
      <c r="Q38" s="78"/>
      <c r="R38" s="78"/>
      <c r="S38" s="78"/>
      <c r="T38" s="78"/>
      <c r="U38" s="78"/>
      <c r="V38" s="79"/>
    </row>
    <row r="39" spans="4:22" x14ac:dyDescent="0.25">
      <c r="D39" s="10">
        <v>21</v>
      </c>
      <c r="E39" s="15">
        <v>44075</v>
      </c>
      <c r="F39" s="103">
        <v>50</v>
      </c>
      <c r="G39" s="51">
        <v>40</v>
      </c>
      <c r="H39" s="50">
        <f>XNPV($F$13,$F39:$F$78,$E39:$E$78)</f>
        <v>1944.898058474548</v>
      </c>
      <c r="I39" s="49">
        <f t="shared" si="1"/>
        <v>1944.898058474548</v>
      </c>
      <c r="J39" s="49">
        <f t="shared" si="0"/>
        <v>45.390766210147603</v>
      </c>
      <c r="K39" s="100">
        <v>166.67</v>
      </c>
      <c r="L39" s="100">
        <v>41.67</v>
      </c>
      <c r="N39" s="80" t="s">
        <v>87</v>
      </c>
      <c r="O39" s="81"/>
      <c r="P39" s="81"/>
      <c r="Q39" s="81"/>
      <c r="R39" s="81"/>
      <c r="S39" s="81"/>
      <c r="T39" s="81"/>
      <c r="U39" s="81"/>
      <c r="V39" s="82"/>
    </row>
    <row r="40" spans="4:22" x14ac:dyDescent="0.25">
      <c r="D40" s="10">
        <v>22</v>
      </c>
      <c r="E40" s="15">
        <v>44105</v>
      </c>
      <c r="F40" s="103">
        <v>50</v>
      </c>
      <c r="G40" s="51">
        <v>40</v>
      </c>
      <c r="H40" s="50">
        <f>XNPV($F$13,$F40:$F$78,$E40:$E$78)</f>
        <v>1899.5072922644003</v>
      </c>
      <c r="I40" s="49">
        <f t="shared" si="1"/>
        <v>1899.5072922644003</v>
      </c>
      <c r="J40" s="49">
        <f t="shared" si="0"/>
        <v>45.351027622379434</v>
      </c>
      <c r="K40" s="100">
        <v>125</v>
      </c>
      <c r="L40" s="100">
        <v>41.67</v>
      </c>
      <c r="N40" s="83"/>
      <c r="O40" s="84"/>
      <c r="P40" s="84"/>
      <c r="Q40" s="84"/>
      <c r="R40" s="84"/>
      <c r="S40" s="84"/>
      <c r="T40" s="84"/>
      <c r="U40" s="84"/>
      <c r="V40" s="85"/>
    </row>
    <row r="41" spans="4:22" x14ac:dyDescent="0.25">
      <c r="D41" s="10">
        <v>23</v>
      </c>
      <c r="E41" s="15">
        <v>44136</v>
      </c>
      <c r="F41" s="103">
        <v>50</v>
      </c>
      <c r="G41" s="51">
        <v>40</v>
      </c>
      <c r="H41" s="50">
        <f>XNPV($F$13,$F41:$F$78,$E41:$E$78)</f>
        <v>1854.1562646420209</v>
      </c>
      <c r="I41" s="49">
        <f t="shared" si="1"/>
        <v>1854.1562646420209</v>
      </c>
      <c r="J41" s="49">
        <f t="shared" si="0"/>
        <v>45.611490560154152</v>
      </c>
      <c r="K41" s="100">
        <v>83.33</v>
      </c>
      <c r="L41" s="100">
        <v>41.67</v>
      </c>
      <c r="N41" s="83"/>
      <c r="O41" s="84"/>
      <c r="P41" s="84"/>
      <c r="Q41" s="84"/>
      <c r="R41" s="84"/>
      <c r="S41" s="84"/>
      <c r="T41" s="84"/>
      <c r="U41" s="84"/>
      <c r="V41" s="85"/>
    </row>
    <row r="42" spans="4:22" x14ac:dyDescent="0.25">
      <c r="D42" s="10">
        <v>24</v>
      </c>
      <c r="E42" s="15">
        <v>44166</v>
      </c>
      <c r="F42" s="103">
        <v>50</v>
      </c>
      <c r="G42" s="51">
        <v>40</v>
      </c>
      <c r="H42" s="50">
        <f>XNPV($F$13,$F42:$F$78,$E42:$E$78)</f>
        <v>1808.5447740818668</v>
      </c>
      <c r="I42" s="49">
        <f t="shared" si="1"/>
        <v>1808.5447740818668</v>
      </c>
      <c r="J42" s="49">
        <f t="shared" si="0"/>
        <v>45.579673508880433</v>
      </c>
      <c r="K42" s="100">
        <v>41.67</v>
      </c>
      <c r="L42" s="100">
        <v>41.67</v>
      </c>
      <c r="N42" s="83"/>
      <c r="O42" s="84"/>
      <c r="P42" s="84"/>
      <c r="Q42" s="84"/>
      <c r="R42" s="84"/>
      <c r="S42" s="84"/>
      <c r="T42" s="84"/>
      <c r="U42" s="84"/>
      <c r="V42" s="85"/>
    </row>
    <row r="43" spans="4:22" x14ac:dyDescent="0.25">
      <c r="D43" s="10">
        <v>25</v>
      </c>
      <c r="E43" s="15">
        <v>44197</v>
      </c>
      <c r="F43" s="103">
        <v>100</v>
      </c>
      <c r="G43" s="51">
        <v>40</v>
      </c>
      <c r="H43" s="50">
        <f>XNPV($F$13,$F43:$F$78,$E43:$E$78)</f>
        <v>1762.9651005729863</v>
      </c>
      <c r="I43" s="49">
        <f t="shared" si="1"/>
        <v>1762.9651005729863</v>
      </c>
      <c r="J43" s="49">
        <f t="shared" si="0"/>
        <v>95.819925203946923</v>
      </c>
      <c r="K43" s="100">
        <v>0</v>
      </c>
      <c r="L43" s="100">
        <v>0</v>
      </c>
      <c r="N43" s="86"/>
      <c r="O43" s="87"/>
      <c r="P43" s="87"/>
      <c r="Q43" s="87"/>
      <c r="R43" s="87"/>
      <c r="S43" s="87"/>
      <c r="T43" s="87"/>
      <c r="U43" s="87"/>
      <c r="V43" s="88"/>
    </row>
    <row r="44" spans="4:22" x14ac:dyDescent="0.25">
      <c r="D44" s="10">
        <v>26</v>
      </c>
      <c r="E44" s="15">
        <v>44228</v>
      </c>
      <c r="F44" s="103">
        <v>100</v>
      </c>
      <c r="G44" s="51">
        <v>40</v>
      </c>
      <c r="H44" s="50">
        <f>XNPV($F$13,$F44:$F$78,$E44:$E$78)</f>
        <v>1667.1451753690394</v>
      </c>
      <c r="I44" s="49">
        <f t="shared" si="1"/>
        <v>1667.1451753690394</v>
      </c>
      <c r="J44" s="49">
        <f t="shared" si="0"/>
        <v>96.442427916084625</v>
      </c>
      <c r="K44" s="100">
        <v>0</v>
      </c>
      <c r="L44" s="100">
        <v>0</v>
      </c>
    </row>
    <row r="45" spans="4:22" x14ac:dyDescent="0.25">
      <c r="D45" s="10">
        <v>27</v>
      </c>
      <c r="E45" s="15">
        <v>44256</v>
      </c>
      <c r="F45" s="103">
        <v>100</v>
      </c>
      <c r="G45" s="51">
        <v>40</v>
      </c>
      <c r="H45" s="50">
        <f>XNPV($F$13,$F45:$F$78,$E45:$E$78)</f>
        <v>1570.7027474529548</v>
      </c>
      <c r="I45" s="49">
        <f t="shared" si="1"/>
        <v>1570.7027474529548</v>
      </c>
      <c r="J45" s="49">
        <f t="shared" si="0"/>
        <v>96.303201140543479</v>
      </c>
      <c r="K45" s="100">
        <v>0</v>
      </c>
      <c r="L45" s="100">
        <v>0</v>
      </c>
    </row>
    <row r="46" spans="4:22" x14ac:dyDescent="0.25">
      <c r="D46" s="10">
        <v>28</v>
      </c>
      <c r="E46" s="15">
        <v>44287</v>
      </c>
      <c r="F46" s="103">
        <v>100</v>
      </c>
      <c r="G46" s="51">
        <v>40</v>
      </c>
      <c r="H46" s="50">
        <f>XNPV($F$13,$F46:$F$78,$E46:$E$78)</f>
        <v>1474.3995463124113</v>
      </c>
      <c r="I46" s="49">
        <f t="shared" si="1"/>
        <v>1474.3995463124113</v>
      </c>
      <c r="J46" s="49">
        <f t="shared" si="0"/>
        <v>96.656849796595225</v>
      </c>
      <c r="K46" s="100">
        <v>0</v>
      </c>
      <c r="L46" s="100">
        <v>0</v>
      </c>
    </row>
    <row r="47" spans="4:22" x14ac:dyDescent="0.25">
      <c r="D47" s="10">
        <v>29</v>
      </c>
      <c r="E47" s="15">
        <v>44317</v>
      </c>
      <c r="F47" s="103">
        <v>100</v>
      </c>
      <c r="G47" s="51">
        <v>40</v>
      </c>
      <c r="H47" s="50">
        <f>XNPV($F$13,$F47:$F$78,$E47:$E$78)</f>
        <v>1377.7426965158161</v>
      </c>
      <c r="I47" s="49">
        <f t="shared" si="1"/>
        <v>1377.7426965158161</v>
      </c>
      <c r="J47" s="49">
        <f t="shared" si="0"/>
        <v>96.788230829554777</v>
      </c>
      <c r="K47" s="100">
        <v>0</v>
      </c>
      <c r="L47" s="100">
        <v>0</v>
      </c>
    </row>
    <row r="48" spans="4:22" x14ac:dyDescent="0.25">
      <c r="D48" s="10">
        <v>30</v>
      </c>
      <c r="E48" s="15">
        <v>44348</v>
      </c>
      <c r="F48" s="103">
        <v>100</v>
      </c>
      <c r="G48" s="51">
        <v>40</v>
      </c>
      <c r="H48" s="50">
        <f>XNPV($F$13,$F48:$F$78,$E48:$E$78)</f>
        <v>1280.9544656862613</v>
      </c>
      <c r="I48" s="49">
        <f t="shared" si="1"/>
        <v>1280.9544656862613</v>
      </c>
      <c r="J48" s="49">
        <f t="shared" si="0"/>
        <v>97.127394160771019</v>
      </c>
      <c r="K48" s="100">
        <v>0</v>
      </c>
      <c r="L48" s="100">
        <v>0</v>
      </c>
    </row>
    <row r="49" spans="4:12" x14ac:dyDescent="0.25">
      <c r="D49" s="10">
        <v>31</v>
      </c>
      <c r="E49" s="15">
        <v>44378</v>
      </c>
      <c r="F49" s="103">
        <v>100</v>
      </c>
      <c r="G49" s="51">
        <v>40</v>
      </c>
      <c r="H49" s="50">
        <f>XNPV($F$13,$F49:$F$78,$E49:$E$78)</f>
        <v>1183.8270715254903</v>
      </c>
      <c r="I49" s="49">
        <f t="shared" si="1"/>
        <v>1183.8270715254903</v>
      </c>
      <c r="J49" s="49">
        <f t="shared" si="0"/>
        <v>97.275662475777153</v>
      </c>
      <c r="K49" s="100">
        <v>0</v>
      </c>
      <c r="L49" s="100">
        <v>0</v>
      </c>
    </row>
    <row r="50" spans="4:12" x14ac:dyDescent="0.25">
      <c r="D50" s="10">
        <v>32</v>
      </c>
      <c r="E50" s="15">
        <v>44409</v>
      </c>
      <c r="F50" s="103">
        <v>100</v>
      </c>
      <c r="G50" s="51">
        <v>40</v>
      </c>
      <c r="H50" s="50">
        <f>XNPV($F$13,$F50:$F$78,$E50:$E$78)</f>
        <v>1086.5514090497131</v>
      </c>
      <c r="I50" s="49">
        <f t="shared" si="1"/>
        <v>1086.5514090497131</v>
      </c>
      <c r="J50" s="49">
        <f t="shared" si="0"/>
        <v>97.520177255338467</v>
      </c>
      <c r="K50" s="100">
        <v>0</v>
      </c>
      <c r="L50" s="100">
        <v>0</v>
      </c>
    </row>
    <row r="51" spans="4:12" x14ac:dyDescent="0.25">
      <c r="D51" s="10">
        <v>33</v>
      </c>
      <c r="E51" s="15">
        <v>44440</v>
      </c>
      <c r="F51" s="103">
        <v>100</v>
      </c>
      <c r="G51" s="51">
        <v>40</v>
      </c>
      <c r="H51" s="50">
        <f>XNPV($F$13,$F51:$F$78,$E51:$E$78)</f>
        <v>989.03123179437466</v>
      </c>
      <c r="I51" s="49">
        <f t="shared" si="1"/>
        <v>989.03123179437466</v>
      </c>
      <c r="J51" s="49">
        <f t="shared" si="0"/>
        <v>97.837481137576674</v>
      </c>
      <c r="K51" s="100">
        <v>0</v>
      </c>
      <c r="L51" s="100">
        <v>0</v>
      </c>
    </row>
    <row r="52" spans="4:12" x14ac:dyDescent="0.25">
      <c r="D52" s="10">
        <v>34</v>
      </c>
      <c r="E52" s="15">
        <v>44470</v>
      </c>
      <c r="F52" s="103">
        <v>100</v>
      </c>
      <c r="G52" s="51">
        <v>40</v>
      </c>
      <c r="H52" s="50">
        <f>XNPV($F$13,$F52:$F$78,$E52:$E$78)</f>
        <v>891.19375065679799</v>
      </c>
      <c r="I52" s="49">
        <f t="shared" si="1"/>
        <v>891.19375065679799</v>
      </c>
      <c r="J52" s="49">
        <f t="shared" si="0"/>
        <v>98.01123363636691</v>
      </c>
      <c r="K52" s="100">
        <v>0</v>
      </c>
      <c r="L52" s="100">
        <v>0</v>
      </c>
    </row>
    <row r="53" spans="4:12" x14ac:dyDescent="0.25">
      <c r="D53" s="10">
        <v>35</v>
      </c>
      <c r="E53" s="15">
        <v>44501</v>
      </c>
      <c r="F53" s="103">
        <v>100</v>
      </c>
      <c r="G53" s="51">
        <v>40</v>
      </c>
      <c r="H53" s="50">
        <f>XNPV($F$13,$F53:$F$78,$E53:$E$78)</f>
        <v>793.18251702043108</v>
      </c>
      <c r="I53" s="49">
        <f t="shared" si="1"/>
        <v>793.18251702043108</v>
      </c>
      <c r="J53" s="49">
        <f t="shared" si="0"/>
        <v>98.313872207691588</v>
      </c>
      <c r="K53" s="100">
        <v>0</v>
      </c>
      <c r="L53" s="100">
        <v>0</v>
      </c>
    </row>
    <row r="54" spans="4:12" x14ac:dyDescent="0.25">
      <c r="D54" s="10">
        <v>36</v>
      </c>
      <c r="E54" s="15">
        <v>44531</v>
      </c>
      <c r="F54" s="103">
        <v>100</v>
      </c>
      <c r="G54" s="51">
        <v>40</v>
      </c>
      <c r="H54" s="50">
        <f>XNPV($F$13,$F54:$F$78,$E54:$E$78)</f>
        <v>694.86864481273949</v>
      </c>
      <c r="I54" s="49">
        <f t="shared" si="1"/>
        <v>694.86864481273949</v>
      </c>
      <c r="J54" s="49">
        <f t="shared" si="0"/>
        <v>98.504721819906536</v>
      </c>
      <c r="K54" s="100">
        <v>0</v>
      </c>
      <c r="L54" s="100">
        <v>0</v>
      </c>
    </row>
    <row r="55" spans="4:12" x14ac:dyDescent="0.25">
      <c r="D55" s="10">
        <v>37</v>
      </c>
      <c r="E55" s="15">
        <v>44562</v>
      </c>
      <c r="F55" s="103">
        <v>100</v>
      </c>
      <c r="G55" s="51">
        <v>40</v>
      </c>
      <c r="H55" s="50">
        <f>XNPV($F$13,$F55:$F$78,$E55:$E$78)</f>
        <v>596.36392299283295</v>
      </c>
      <c r="I55" s="49">
        <f t="shared" si="1"/>
        <v>596.36392299283295</v>
      </c>
      <c r="J55" s="49">
        <f t="shared" si="0"/>
        <v>98.752325996824879</v>
      </c>
      <c r="K55" s="100">
        <v>0</v>
      </c>
      <c r="L55" s="100">
        <v>0</v>
      </c>
    </row>
    <row r="56" spans="4:12" x14ac:dyDescent="0.25">
      <c r="D56" s="10">
        <v>38</v>
      </c>
      <c r="E56" s="15">
        <v>44593</v>
      </c>
      <c r="F56" s="103">
        <v>100</v>
      </c>
      <c r="G56" s="51">
        <v>40</v>
      </c>
      <c r="H56" s="50">
        <f>XNPV($F$13,$F56:$F$78,$E56:$E$78)</f>
        <v>497.61159699600807</v>
      </c>
      <c r="I56" s="49">
        <f t="shared" si="1"/>
        <v>497.61159699600807</v>
      </c>
      <c r="J56" s="49">
        <f t="shared" si="0"/>
        <v>99.097382973864569</v>
      </c>
      <c r="K56" s="100">
        <v>0</v>
      </c>
      <c r="L56" s="100">
        <v>0</v>
      </c>
    </row>
    <row r="57" spans="4:12" x14ac:dyDescent="0.25">
      <c r="D57" s="10">
        <v>39</v>
      </c>
      <c r="E57" s="15">
        <v>44621</v>
      </c>
      <c r="F57" s="103">
        <v>100</v>
      </c>
      <c r="G57" s="51">
        <v>40</v>
      </c>
      <c r="H57" s="50">
        <f>XNPV($F$13,$F57:$F$78,$E57:$E$78)</f>
        <v>398.51421402214351</v>
      </c>
      <c r="I57" s="49">
        <f t="shared" si="1"/>
        <v>398.51421402214351</v>
      </c>
      <c r="J57" s="49">
        <f t="shared" si="0"/>
        <v>99.249646464698742</v>
      </c>
      <c r="K57" s="100">
        <v>0</v>
      </c>
      <c r="L57" s="100">
        <v>0</v>
      </c>
    </row>
    <row r="58" spans="4:12" x14ac:dyDescent="0.25">
      <c r="D58" s="10">
        <v>40</v>
      </c>
      <c r="E58" s="15">
        <v>44652</v>
      </c>
      <c r="F58" s="103">
        <v>100</v>
      </c>
      <c r="G58" s="51">
        <v>40</v>
      </c>
      <c r="H58" s="50">
        <f>XNPV($F$13,$F58:$F$78,$E58:$E$78)</f>
        <v>299.26456755744476</v>
      </c>
      <c r="I58" s="49">
        <f t="shared" si="1"/>
        <v>299.26456755744476</v>
      </c>
      <c r="J58" s="49">
        <f t="shared" si="0"/>
        <v>99.515300058597688</v>
      </c>
      <c r="K58" s="100">
        <v>0</v>
      </c>
      <c r="L58" s="100">
        <v>0</v>
      </c>
    </row>
    <row r="59" spans="4:12" x14ac:dyDescent="0.25">
      <c r="D59" s="10">
        <v>41</v>
      </c>
      <c r="E59" s="15">
        <v>44682</v>
      </c>
      <c r="F59" s="103">
        <v>100</v>
      </c>
      <c r="G59" s="51">
        <v>40</v>
      </c>
      <c r="H59" s="50">
        <f>XNPV($F$13,$F59:$F$78,$E59:$E$78)</f>
        <v>199.74926749884708</v>
      </c>
      <c r="I59" s="49">
        <f t="shared" si="1"/>
        <v>199.74926749884708</v>
      </c>
      <c r="J59" s="49">
        <f t="shared" si="0"/>
        <v>99.749267498847075</v>
      </c>
      <c r="K59" s="100">
        <v>0</v>
      </c>
      <c r="L59" s="100">
        <v>0</v>
      </c>
    </row>
    <row r="60" spans="4:12" x14ac:dyDescent="0.25">
      <c r="D60" s="10">
        <v>42</v>
      </c>
      <c r="E60" s="15">
        <v>44713</v>
      </c>
      <c r="F60" s="103">
        <v>100</v>
      </c>
      <c r="G60" s="51">
        <v>40</v>
      </c>
      <c r="H60" s="50">
        <f>XNPV($F$13,$F60:$F$78,$E60:$E$78)</f>
        <v>100</v>
      </c>
      <c r="I60" s="49">
        <f t="shared" si="1"/>
        <v>100</v>
      </c>
      <c r="J60" s="49">
        <f t="shared" si="0"/>
        <v>100</v>
      </c>
      <c r="K60" s="100">
        <v>0</v>
      </c>
      <c r="L60" s="100">
        <v>0</v>
      </c>
    </row>
    <row r="61" spans="4:12" x14ac:dyDescent="0.25">
      <c r="D61" s="10">
        <v>43</v>
      </c>
      <c r="E61" s="15">
        <v>44743</v>
      </c>
      <c r="F61" s="103">
        <v>0</v>
      </c>
      <c r="G61" s="51">
        <v>40</v>
      </c>
      <c r="H61" s="100">
        <v>0</v>
      </c>
      <c r="I61" s="51">
        <v>0</v>
      </c>
      <c r="J61" s="51">
        <v>0</v>
      </c>
      <c r="K61" s="100">
        <v>0</v>
      </c>
      <c r="L61" s="100">
        <v>0</v>
      </c>
    </row>
    <row r="62" spans="4:12" x14ac:dyDescent="0.25">
      <c r="D62" s="10">
        <v>44</v>
      </c>
      <c r="E62" s="15">
        <v>44774</v>
      </c>
      <c r="F62" s="103">
        <v>0</v>
      </c>
      <c r="G62" s="51">
        <v>40</v>
      </c>
      <c r="H62" s="100">
        <v>0</v>
      </c>
      <c r="I62" s="51">
        <v>0</v>
      </c>
      <c r="J62" s="51">
        <v>0</v>
      </c>
      <c r="K62" s="100">
        <v>0</v>
      </c>
      <c r="L62" s="100">
        <v>0</v>
      </c>
    </row>
    <row r="63" spans="4:12" x14ac:dyDescent="0.25">
      <c r="D63" s="10">
        <v>45</v>
      </c>
      <c r="E63" s="15">
        <v>44805</v>
      </c>
      <c r="F63" s="103">
        <v>0</v>
      </c>
      <c r="G63" s="51">
        <v>40</v>
      </c>
      <c r="H63" s="100">
        <v>0</v>
      </c>
      <c r="I63" s="51">
        <v>0</v>
      </c>
      <c r="J63" s="51">
        <v>0</v>
      </c>
      <c r="K63" s="100">
        <v>0</v>
      </c>
      <c r="L63" s="100">
        <v>0</v>
      </c>
    </row>
    <row r="64" spans="4:12" x14ac:dyDescent="0.25">
      <c r="D64" s="10">
        <v>46</v>
      </c>
      <c r="E64" s="15">
        <v>44835</v>
      </c>
      <c r="F64" s="103">
        <v>0</v>
      </c>
      <c r="G64" s="51">
        <v>40</v>
      </c>
      <c r="H64" s="100">
        <v>0</v>
      </c>
      <c r="I64" s="51">
        <v>0</v>
      </c>
      <c r="J64" s="51">
        <v>0</v>
      </c>
      <c r="K64" s="100">
        <v>0</v>
      </c>
      <c r="L64" s="100">
        <v>0</v>
      </c>
    </row>
    <row r="65" spans="4:15" x14ac:dyDescent="0.25">
      <c r="D65" s="10">
        <v>47</v>
      </c>
      <c r="E65" s="15">
        <v>44866</v>
      </c>
      <c r="F65" s="103">
        <v>0</v>
      </c>
      <c r="G65" s="51">
        <v>40</v>
      </c>
      <c r="H65" s="100">
        <v>0</v>
      </c>
      <c r="I65" s="51">
        <v>0</v>
      </c>
      <c r="J65" s="51">
        <v>0</v>
      </c>
      <c r="K65" s="100">
        <v>0</v>
      </c>
      <c r="L65" s="100">
        <v>0</v>
      </c>
    </row>
    <row r="66" spans="4:15" x14ac:dyDescent="0.25">
      <c r="D66" s="10">
        <v>48</v>
      </c>
      <c r="E66" s="15">
        <v>44896</v>
      </c>
      <c r="F66" s="103">
        <v>0</v>
      </c>
      <c r="G66" s="51">
        <v>40</v>
      </c>
      <c r="H66" s="100">
        <v>0</v>
      </c>
      <c r="I66" s="51">
        <v>0</v>
      </c>
      <c r="J66" s="51">
        <v>0</v>
      </c>
      <c r="K66" s="100">
        <v>0</v>
      </c>
      <c r="L66" s="100">
        <v>0</v>
      </c>
    </row>
    <row r="67" spans="4:15" x14ac:dyDescent="0.25">
      <c r="D67" s="10">
        <v>49</v>
      </c>
      <c r="E67" s="15">
        <v>44927</v>
      </c>
      <c r="F67" s="103">
        <v>0</v>
      </c>
      <c r="G67" s="51">
        <v>40</v>
      </c>
      <c r="H67" s="100">
        <v>0</v>
      </c>
      <c r="I67" s="51">
        <v>0</v>
      </c>
      <c r="J67" s="51">
        <v>0</v>
      </c>
      <c r="K67" s="100">
        <v>0</v>
      </c>
      <c r="L67" s="100">
        <v>0</v>
      </c>
    </row>
    <row r="68" spans="4:15" x14ac:dyDescent="0.25">
      <c r="D68" s="10">
        <v>50</v>
      </c>
      <c r="E68" s="15">
        <v>44958</v>
      </c>
      <c r="F68" s="103">
        <v>0</v>
      </c>
      <c r="G68" s="51">
        <v>40</v>
      </c>
      <c r="H68" s="100">
        <v>0</v>
      </c>
      <c r="I68" s="51">
        <v>0</v>
      </c>
      <c r="J68" s="51">
        <v>0</v>
      </c>
      <c r="K68" s="100">
        <v>0</v>
      </c>
      <c r="L68" s="100">
        <v>0</v>
      </c>
    </row>
    <row r="69" spans="4:15" x14ac:dyDescent="0.25">
      <c r="D69" s="10">
        <v>51</v>
      </c>
      <c r="E69" s="15">
        <v>44986</v>
      </c>
      <c r="F69" s="103">
        <v>0</v>
      </c>
      <c r="G69" s="51">
        <v>40</v>
      </c>
      <c r="H69" s="100">
        <v>0</v>
      </c>
      <c r="I69" s="51">
        <v>0</v>
      </c>
      <c r="J69" s="51">
        <v>0</v>
      </c>
      <c r="K69" s="100">
        <v>0</v>
      </c>
      <c r="L69" s="100">
        <v>0</v>
      </c>
    </row>
    <row r="70" spans="4:15" x14ac:dyDescent="0.25">
      <c r="D70" s="10">
        <v>52</v>
      </c>
      <c r="E70" s="15">
        <v>45017</v>
      </c>
      <c r="F70" s="103">
        <v>0</v>
      </c>
      <c r="G70" s="51">
        <v>40</v>
      </c>
      <c r="H70" s="100">
        <v>0</v>
      </c>
      <c r="I70" s="51">
        <v>0</v>
      </c>
      <c r="J70" s="51">
        <v>0</v>
      </c>
      <c r="K70" s="100">
        <v>0</v>
      </c>
      <c r="L70" s="100">
        <v>0</v>
      </c>
    </row>
    <row r="71" spans="4:15" x14ac:dyDescent="0.25">
      <c r="D71" s="10">
        <v>53</v>
      </c>
      <c r="E71" s="15">
        <v>45047</v>
      </c>
      <c r="F71" s="103">
        <v>0</v>
      </c>
      <c r="G71" s="51">
        <v>40</v>
      </c>
      <c r="H71" s="100">
        <v>0</v>
      </c>
      <c r="I71" s="51">
        <v>0</v>
      </c>
      <c r="J71" s="51">
        <v>0</v>
      </c>
      <c r="K71" s="100">
        <v>0</v>
      </c>
      <c r="L71" s="100">
        <v>0</v>
      </c>
    </row>
    <row r="72" spans="4:15" x14ac:dyDescent="0.25">
      <c r="D72" s="10">
        <v>54</v>
      </c>
      <c r="E72" s="15">
        <v>45078</v>
      </c>
      <c r="F72" s="103">
        <v>0</v>
      </c>
      <c r="G72" s="51">
        <v>40</v>
      </c>
      <c r="H72" s="100">
        <v>0</v>
      </c>
      <c r="I72" s="51">
        <v>0</v>
      </c>
      <c r="J72" s="51">
        <v>0</v>
      </c>
      <c r="K72" s="100">
        <v>0</v>
      </c>
      <c r="L72" s="100">
        <v>0</v>
      </c>
    </row>
    <row r="73" spans="4:15" x14ac:dyDescent="0.25">
      <c r="D73" s="10">
        <v>55</v>
      </c>
      <c r="E73" s="15">
        <v>45108</v>
      </c>
      <c r="F73" s="103">
        <v>0</v>
      </c>
      <c r="G73" s="51">
        <v>40</v>
      </c>
      <c r="H73" s="100">
        <v>0</v>
      </c>
      <c r="I73" s="51">
        <v>0</v>
      </c>
      <c r="J73" s="51">
        <v>0</v>
      </c>
      <c r="K73" s="100">
        <v>0</v>
      </c>
      <c r="L73" s="100">
        <v>0</v>
      </c>
    </row>
    <row r="74" spans="4:15" x14ac:dyDescent="0.25">
      <c r="D74" s="10">
        <v>56</v>
      </c>
      <c r="E74" s="15">
        <v>45139</v>
      </c>
      <c r="F74" s="103">
        <v>0</v>
      </c>
      <c r="G74" s="51">
        <v>40</v>
      </c>
      <c r="H74" s="100">
        <v>0</v>
      </c>
      <c r="I74" s="51">
        <v>0</v>
      </c>
      <c r="J74" s="51">
        <v>0</v>
      </c>
      <c r="K74" s="100">
        <v>0</v>
      </c>
      <c r="L74" s="100">
        <v>0</v>
      </c>
    </row>
    <row r="75" spans="4:15" x14ac:dyDescent="0.25">
      <c r="D75" s="10">
        <v>57</v>
      </c>
      <c r="E75" s="15">
        <v>45170</v>
      </c>
      <c r="F75" s="103">
        <v>0</v>
      </c>
      <c r="G75" s="51">
        <v>40</v>
      </c>
      <c r="H75" s="100">
        <v>0</v>
      </c>
      <c r="I75" s="51">
        <v>0</v>
      </c>
      <c r="J75" s="51">
        <v>0</v>
      </c>
      <c r="K75" s="100">
        <v>0</v>
      </c>
      <c r="L75" s="100">
        <v>0</v>
      </c>
    </row>
    <row r="76" spans="4:15" x14ac:dyDescent="0.25">
      <c r="D76" s="10">
        <v>58</v>
      </c>
      <c r="E76" s="15">
        <v>45200</v>
      </c>
      <c r="F76" s="103">
        <v>0</v>
      </c>
      <c r="G76" s="51">
        <v>40</v>
      </c>
      <c r="H76" s="100">
        <v>0</v>
      </c>
      <c r="I76" s="51">
        <v>0</v>
      </c>
      <c r="J76" s="51">
        <v>0</v>
      </c>
      <c r="K76" s="100">
        <v>0</v>
      </c>
      <c r="L76" s="100">
        <v>0</v>
      </c>
    </row>
    <row r="77" spans="4:15" x14ac:dyDescent="0.25">
      <c r="D77" s="10">
        <v>59</v>
      </c>
      <c r="E77" s="15">
        <v>45231</v>
      </c>
      <c r="F77" s="103">
        <v>0</v>
      </c>
      <c r="G77" s="51">
        <v>40</v>
      </c>
      <c r="H77" s="100">
        <v>0</v>
      </c>
      <c r="I77" s="51">
        <v>0</v>
      </c>
      <c r="J77" s="51">
        <v>0</v>
      </c>
      <c r="K77" s="100">
        <v>0</v>
      </c>
      <c r="L77" s="100">
        <v>0</v>
      </c>
    </row>
    <row r="78" spans="4:15" x14ac:dyDescent="0.25">
      <c r="D78" s="10">
        <v>60</v>
      </c>
      <c r="E78" s="15">
        <v>45261</v>
      </c>
      <c r="F78" s="103">
        <v>0</v>
      </c>
      <c r="G78" s="51">
        <v>40</v>
      </c>
      <c r="H78" s="100">
        <v>0</v>
      </c>
      <c r="I78" s="51">
        <v>0</v>
      </c>
      <c r="J78" s="51">
        <v>0</v>
      </c>
      <c r="K78" s="100">
        <v>0</v>
      </c>
      <c r="L78" s="100">
        <v>0</v>
      </c>
    </row>
    <row r="79" spans="4:15" x14ac:dyDescent="0.25">
      <c r="D79" s="23"/>
      <c r="E79" s="24"/>
      <c r="F79" s="25"/>
      <c r="G79" s="25">
        <v>0</v>
      </c>
      <c r="I79" s="25"/>
      <c r="K79" s="25"/>
      <c r="L79" s="25"/>
      <c r="N79" s="25"/>
      <c r="O79" s="25"/>
    </row>
    <row r="80" spans="4:15" x14ac:dyDescent="0.25">
      <c r="G80" s="1">
        <v>0</v>
      </c>
    </row>
    <row r="81" spans="4:19" ht="23.25" x14ac:dyDescent="0.35">
      <c r="D81" s="3" t="s">
        <v>82</v>
      </c>
      <c r="G81" s="1">
        <v>0</v>
      </c>
    </row>
    <row r="82" spans="4:19" x14ac:dyDescent="0.25">
      <c r="D82" s="98" t="s">
        <v>76</v>
      </c>
      <c r="E82" s="93" t="s">
        <v>19</v>
      </c>
      <c r="F82" s="94"/>
      <c r="G82" s="93">
        <v>0</v>
      </c>
      <c r="H82" s="94"/>
      <c r="I82" s="93" t="s">
        <v>18</v>
      </c>
      <c r="J82" s="94"/>
      <c r="K82" s="93" t="s">
        <v>22</v>
      </c>
      <c r="L82" s="94"/>
      <c r="M82" s="93" t="s">
        <v>69</v>
      </c>
      <c r="N82" s="94"/>
      <c r="O82" s="93" t="s">
        <v>36</v>
      </c>
      <c r="P82" s="94"/>
    </row>
    <row r="83" spans="4:19" x14ac:dyDescent="0.25">
      <c r="D83" s="99"/>
      <c r="E83" s="48" t="s">
        <v>43</v>
      </c>
      <c r="F83" s="48" t="s">
        <v>44</v>
      </c>
      <c r="G83" s="48">
        <v>0</v>
      </c>
      <c r="H83" s="48" t="s">
        <v>44</v>
      </c>
      <c r="I83" s="48" t="s">
        <v>43</v>
      </c>
      <c r="J83" s="48" t="s">
        <v>44</v>
      </c>
      <c r="K83" s="48" t="s">
        <v>43</v>
      </c>
      <c r="L83" s="48" t="s">
        <v>44</v>
      </c>
      <c r="M83" s="48" t="s">
        <v>43</v>
      </c>
      <c r="N83" s="48" t="s">
        <v>44</v>
      </c>
      <c r="O83" s="48" t="s">
        <v>43</v>
      </c>
      <c r="P83" s="48" t="s">
        <v>44</v>
      </c>
    </row>
    <row r="84" spans="4:19" x14ac:dyDescent="0.25">
      <c r="D84" s="10">
        <v>1</v>
      </c>
      <c r="E84" s="51">
        <v>0</v>
      </c>
      <c r="F84" s="51">
        <v>0</v>
      </c>
      <c r="G84" s="100">
        <v>0</v>
      </c>
      <c r="H84" s="100">
        <v>0</v>
      </c>
      <c r="I84" s="51">
        <v>0</v>
      </c>
      <c r="J84" s="51">
        <v>0</v>
      </c>
      <c r="K84" s="100">
        <v>0</v>
      </c>
      <c r="L84" s="100">
        <v>0</v>
      </c>
      <c r="M84" s="51">
        <v>0</v>
      </c>
      <c r="N84" s="51">
        <v>0</v>
      </c>
      <c r="O84" s="100">
        <v>0</v>
      </c>
      <c r="P84" s="100">
        <v>0</v>
      </c>
      <c r="R84" s="27" t="s">
        <v>56</v>
      </c>
    </row>
    <row r="85" spans="4:19" x14ac:dyDescent="0.25">
      <c r="D85" s="10">
        <v>2</v>
      </c>
      <c r="E85" s="51">
        <v>1000</v>
      </c>
      <c r="F85" s="51">
        <v>0</v>
      </c>
      <c r="G85" s="100">
        <v>0</v>
      </c>
      <c r="H85" s="100">
        <v>0</v>
      </c>
      <c r="I85" s="51">
        <v>0</v>
      </c>
      <c r="J85" s="51">
        <v>0</v>
      </c>
      <c r="K85" s="100">
        <v>0</v>
      </c>
      <c r="L85" s="100">
        <v>0</v>
      </c>
      <c r="M85" s="51">
        <v>0</v>
      </c>
      <c r="N85" s="51">
        <v>0</v>
      </c>
      <c r="O85" s="100">
        <v>0</v>
      </c>
      <c r="P85" s="100">
        <v>1000</v>
      </c>
      <c r="R85" s="27" t="s">
        <v>77</v>
      </c>
    </row>
    <row r="86" spans="4:19" x14ac:dyDescent="0.25">
      <c r="D86" s="10">
        <v>3</v>
      </c>
      <c r="E86" s="51">
        <v>0</v>
      </c>
      <c r="F86" s="51">
        <v>0</v>
      </c>
      <c r="G86" s="100">
        <v>0</v>
      </c>
      <c r="H86" s="100">
        <v>0</v>
      </c>
      <c r="I86" s="51">
        <v>20</v>
      </c>
      <c r="J86" s="51">
        <v>0</v>
      </c>
      <c r="K86" s="100">
        <v>0</v>
      </c>
      <c r="L86" s="100">
        <v>0</v>
      </c>
      <c r="M86" s="51">
        <v>0</v>
      </c>
      <c r="N86" s="51">
        <v>0</v>
      </c>
      <c r="O86" s="100">
        <v>0</v>
      </c>
      <c r="P86" s="100">
        <v>20</v>
      </c>
      <c r="R86" s="27" t="s">
        <v>78</v>
      </c>
    </row>
    <row r="87" spans="4:19" x14ac:dyDescent="0.25">
      <c r="D87" s="10">
        <v>4</v>
      </c>
      <c r="E87" s="51">
        <v>0</v>
      </c>
      <c r="F87" s="51">
        <v>0</v>
      </c>
      <c r="G87" s="100">
        <v>0</v>
      </c>
      <c r="H87" s="100">
        <v>0</v>
      </c>
      <c r="I87" s="51">
        <v>0</v>
      </c>
      <c r="J87" s="51">
        <v>20</v>
      </c>
      <c r="K87" s="100">
        <v>20</v>
      </c>
      <c r="L87" s="100">
        <v>0</v>
      </c>
      <c r="M87" s="51">
        <v>0</v>
      </c>
      <c r="N87" s="51">
        <v>0</v>
      </c>
      <c r="O87" s="100">
        <v>0</v>
      </c>
      <c r="P87" s="100">
        <v>0</v>
      </c>
      <c r="R87" s="27" t="s">
        <v>79</v>
      </c>
    </row>
    <row r="88" spans="4:19" x14ac:dyDescent="0.25">
      <c r="D88" s="10">
        <v>5</v>
      </c>
      <c r="E88" s="51">
        <v>0</v>
      </c>
      <c r="F88" s="51">
        <v>0</v>
      </c>
      <c r="G88" s="100">
        <v>0</v>
      </c>
      <c r="H88" s="100">
        <v>0</v>
      </c>
      <c r="I88" s="51">
        <v>0</v>
      </c>
      <c r="J88" s="51">
        <v>0</v>
      </c>
      <c r="K88" s="100">
        <v>0</v>
      </c>
      <c r="L88" s="100">
        <v>0</v>
      </c>
      <c r="M88" s="51">
        <v>60</v>
      </c>
      <c r="N88" s="51">
        <v>0</v>
      </c>
      <c r="O88" s="100">
        <v>0</v>
      </c>
      <c r="P88" s="100">
        <v>60</v>
      </c>
      <c r="R88" s="27" t="s">
        <v>80</v>
      </c>
    </row>
    <row r="89" spans="4:19" x14ac:dyDescent="0.25">
      <c r="D89" s="10">
        <v>6</v>
      </c>
      <c r="E89" s="51">
        <v>0</v>
      </c>
      <c r="F89" s="51">
        <v>41.67</v>
      </c>
      <c r="G89" s="100">
        <v>0</v>
      </c>
      <c r="H89" s="100">
        <v>0</v>
      </c>
      <c r="I89" s="51">
        <v>0</v>
      </c>
      <c r="J89" s="51">
        <v>0</v>
      </c>
      <c r="K89" s="100">
        <v>0</v>
      </c>
      <c r="L89" s="100">
        <v>0</v>
      </c>
      <c r="M89" s="51">
        <v>0</v>
      </c>
      <c r="N89" s="51">
        <v>0</v>
      </c>
      <c r="O89" s="100">
        <v>0</v>
      </c>
      <c r="P89" s="100">
        <v>0</v>
      </c>
      <c r="R89" s="27" t="s">
        <v>81</v>
      </c>
    </row>
    <row r="90" spans="4:19" x14ac:dyDescent="0.25">
      <c r="G90" s="1">
        <v>0</v>
      </c>
    </row>
    <row r="91" spans="4:19" x14ac:dyDescent="0.25">
      <c r="G91" s="1">
        <v>0</v>
      </c>
    </row>
    <row r="92" spans="4:19" ht="23.25" x14ac:dyDescent="0.35">
      <c r="D92" s="3" t="s">
        <v>83</v>
      </c>
      <c r="G92" s="1">
        <v>0</v>
      </c>
    </row>
    <row r="93" spans="4:19" x14ac:dyDescent="0.25">
      <c r="D93" s="98" t="s">
        <v>70</v>
      </c>
      <c r="E93" s="93" t="s">
        <v>19</v>
      </c>
      <c r="F93" s="94"/>
      <c r="G93" s="93">
        <v>0</v>
      </c>
      <c r="H93" s="94"/>
      <c r="I93" s="93" t="s">
        <v>18</v>
      </c>
      <c r="J93" s="94"/>
      <c r="K93" s="93" t="s">
        <v>22</v>
      </c>
      <c r="L93" s="94"/>
      <c r="M93" s="93" t="s">
        <v>69</v>
      </c>
      <c r="N93" s="94"/>
      <c r="O93" s="93" t="s">
        <v>36</v>
      </c>
      <c r="P93" s="94"/>
      <c r="R93" s="93" t="s">
        <v>16</v>
      </c>
      <c r="S93" s="94"/>
    </row>
    <row r="94" spans="4:19" x14ac:dyDescent="0.25">
      <c r="D94" s="99"/>
      <c r="E94" s="48" t="s">
        <v>43</v>
      </c>
      <c r="F94" s="48" t="s">
        <v>44</v>
      </c>
      <c r="G94" s="48">
        <v>0</v>
      </c>
      <c r="H94" s="48" t="s">
        <v>44</v>
      </c>
      <c r="I94" s="48" t="s">
        <v>43</v>
      </c>
      <c r="J94" s="48" t="s">
        <v>44</v>
      </c>
      <c r="K94" s="48" t="s">
        <v>43</v>
      </c>
      <c r="L94" s="48" t="s">
        <v>44</v>
      </c>
      <c r="M94" s="48" t="s">
        <v>43</v>
      </c>
      <c r="N94" s="48" t="s">
        <v>44</v>
      </c>
      <c r="O94" s="48" t="s">
        <v>43</v>
      </c>
      <c r="P94" s="48" t="s">
        <v>44</v>
      </c>
      <c r="R94" s="48" t="s">
        <v>43</v>
      </c>
      <c r="S94" s="48" t="s">
        <v>44</v>
      </c>
    </row>
    <row r="95" spans="4:19" x14ac:dyDescent="0.25">
      <c r="D95" s="10">
        <v>1</v>
      </c>
      <c r="E95" s="51">
        <v>1000</v>
      </c>
      <c r="F95" s="51">
        <v>41.67</v>
      </c>
      <c r="G95" s="100">
        <v>0</v>
      </c>
      <c r="H95" s="100">
        <v>0</v>
      </c>
      <c r="I95" s="51">
        <v>20</v>
      </c>
      <c r="J95" s="51">
        <v>20</v>
      </c>
      <c r="K95" s="100">
        <v>20</v>
      </c>
      <c r="L95" s="100">
        <v>0</v>
      </c>
      <c r="M95" s="51">
        <v>60</v>
      </c>
      <c r="N95" s="51">
        <v>0</v>
      </c>
      <c r="O95" s="100">
        <v>0</v>
      </c>
      <c r="P95" s="100">
        <v>1080</v>
      </c>
      <c r="R95" s="51">
        <v>1100</v>
      </c>
      <c r="S95" s="51">
        <v>1141.67</v>
      </c>
    </row>
    <row r="96" spans="4:19" x14ac:dyDescent="0.25">
      <c r="D96" s="10">
        <v>2</v>
      </c>
      <c r="E96" s="51">
        <v>0</v>
      </c>
      <c r="F96" s="51">
        <v>41.67</v>
      </c>
      <c r="G96" s="100">
        <v>0</v>
      </c>
      <c r="H96" s="100">
        <v>0</v>
      </c>
      <c r="I96" s="51">
        <v>0</v>
      </c>
      <c r="J96" s="51">
        <v>0</v>
      </c>
      <c r="K96" s="100">
        <v>0</v>
      </c>
      <c r="L96" s="100">
        <v>0</v>
      </c>
      <c r="M96" s="51">
        <v>60</v>
      </c>
      <c r="N96" s="51">
        <v>0</v>
      </c>
      <c r="O96" s="100">
        <v>0</v>
      </c>
      <c r="P96" s="100">
        <v>60</v>
      </c>
      <c r="R96" s="51">
        <v>60</v>
      </c>
      <c r="S96" s="51">
        <v>101.67</v>
      </c>
    </row>
    <row r="97" spans="4:19" x14ac:dyDescent="0.25">
      <c r="D97" s="10">
        <v>3</v>
      </c>
      <c r="E97" s="51">
        <v>0</v>
      </c>
      <c r="F97" s="51">
        <v>41.67</v>
      </c>
      <c r="G97" s="100">
        <v>0</v>
      </c>
      <c r="H97" s="100">
        <v>0</v>
      </c>
      <c r="I97" s="51">
        <v>0</v>
      </c>
      <c r="J97" s="51">
        <v>0</v>
      </c>
      <c r="K97" s="100">
        <v>0</v>
      </c>
      <c r="L97" s="100">
        <v>0</v>
      </c>
      <c r="M97" s="51">
        <v>60</v>
      </c>
      <c r="N97" s="51">
        <v>0</v>
      </c>
      <c r="O97" s="100">
        <v>0</v>
      </c>
      <c r="P97" s="100">
        <v>60</v>
      </c>
      <c r="R97" s="51">
        <v>60</v>
      </c>
      <c r="S97" s="51">
        <v>101.67</v>
      </c>
    </row>
    <row r="98" spans="4:19" x14ac:dyDescent="0.25">
      <c r="D98" s="10">
        <v>4</v>
      </c>
      <c r="E98" s="51">
        <v>0</v>
      </c>
      <c r="F98" s="51">
        <v>41.67</v>
      </c>
      <c r="G98" s="100">
        <v>0</v>
      </c>
      <c r="H98" s="100">
        <v>0</v>
      </c>
      <c r="I98" s="51">
        <v>0</v>
      </c>
      <c r="J98" s="51">
        <v>0</v>
      </c>
      <c r="K98" s="100">
        <v>0</v>
      </c>
      <c r="L98" s="100">
        <v>0</v>
      </c>
      <c r="M98" s="51">
        <v>60</v>
      </c>
      <c r="N98" s="51">
        <v>0</v>
      </c>
      <c r="O98" s="100">
        <v>0</v>
      </c>
      <c r="P98" s="100">
        <v>60</v>
      </c>
      <c r="R98" s="51">
        <v>60</v>
      </c>
      <c r="S98" s="51">
        <v>101.67</v>
      </c>
    </row>
    <row r="99" spans="4:19" x14ac:dyDescent="0.25">
      <c r="D99" s="10">
        <v>5</v>
      </c>
      <c r="E99" s="51">
        <v>0</v>
      </c>
      <c r="F99" s="51">
        <v>41.67</v>
      </c>
      <c r="G99" s="100">
        <v>0</v>
      </c>
      <c r="H99" s="100">
        <v>0</v>
      </c>
      <c r="I99" s="51">
        <v>0</v>
      </c>
      <c r="J99" s="51">
        <v>0</v>
      </c>
      <c r="K99" s="100">
        <v>0</v>
      </c>
      <c r="L99" s="100">
        <v>0</v>
      </c>
      <c r="M99" s="51">
        <v>60</v>
      </c>
      <c r="N99" s="51">
        <v>0</v>
      </c>
      <c r="O99" s="100">
        <v>0</v>
      </c>
      <c r="P99" s="100">
        <v>60</v>
      </c>
      <c r="R99" s="51">
        <v>60</v>
      </c>
      <c r="S99" s="51">
        <v>101.67</v>
      </c>
    </row>
    <row r="100" spans="4:19" x14ac:dyDescent="0.25">
      <c r="D100" s="10">
        <v>6</v>
      </c>
      <c r="E100" s="51">
        <v>0</v>
      </c>
      <c r="F100" s="51">
        <v>41.67</v>
      </c>
      <c r="G100" s="100">
        <v>0</v>
      </c>
      <c r="H100" s="100">
        <v>0</v>
      </c>
      <c r="I100" s="51">
        <v>0</v>
      </c>
      <c r="J100" s="51">
        <v>0</v>
      </c>
      <c r="K100" s="100">
        <v>0</v>
      </c>
      <c r="L100" s="100">
        <v>0</v>
      </c>
      <c r="M100" s="51">
        <v>20</v>
      </c>
      <c r="N100" s="51">
        <v>0</v>
      </c>
      <c r="O100" s="100">
        <v>0</v>
      </c>
      <c r="P100" s="100">
        <v>20</v>
      </c>
      <c r="R100" s="51">
        <v>20</v>
      </c>
      <c r="S100" s="51">
        <v>61.67</v>
      </c>
    </row>
    <row r="101" spans="4:19" x14ac:dyDescent="0.25">
      <c r="D101" s="10">
        <v>7</v>
      </c>
      <c r="E101" s="51">
        <v>0</v>
      </c>
      <c r="F101" s="51">
        <v>41.67</v>
      </c>
      <c r="G101" s="100">
        <v>0</v>
      </c>
      <c r="H101" s="100">
        <v>0</v>
      </c>
      <c r="I101" s="51">
        <v>0</v>
      </c>
      <c r="J101" s="51">
        <v>0</v>
      </c>
      <c r="K101" s="100">
        <v>0</v>
      </c>
      <c r="L101" s="100">
        <v>0</v>
      </c>
      <c r="M101" s="51">
        <v>20</v>
      </c>
      <c r="N101" s="51">
        <v>0</v>
      </c>
      <c r="O101" s="100">
        <v>0</v>
      </c>
      <c r="P101" s="100">
        <v>20</v>
      </c>
      <c r="R101" s="51">
        <v>20</v>
      </c>
      <c r="S101" s="51">
        <v>61.67</v>
      </c>
    </row>
    <row r="102" spans="4:19" x14ac:dyDescent="0.25">
      <c r="D102" s="10">
        <v>8</v>
      </c>
      <c r="E102" s="51">
        <v>0</v>
      </c>
      <c r="F102" s="51">
        <v>41.67</v>
      </c>
      <c r="G102" s="100">
        <v>0</v>
      </c>
      <c r="H102" s="100">
        <v>0</v>
      </c>
      <c r="I102" s="51">
        <v>0</v>
      </c>
      <c r="J102" s="51">
        <v>0</v>
      </c>
      <c r="K102" s="100">
        <v>0</v>
      </c>
      <c r="L102" s="100">
        <v>0</v>
      </c>
      <c r="M102" s="51">
        <v>20</v>
      </c>
      <c r="N102" s="51">
        <v>0</v>
      </c>
      <c r="O102" s="100">
        <v>0</v>
      </c>
      <c r="P102" s="100">
        <v>20</v>
      </c>
      <c r="R102" s="51">
        <v>20</v>
      </c>
      <c r="S102" s="51">
        <v>61.67</v>
      </c>
    </row>
    <row r="103" spans="4:19" x14ac:dyDescent="0.25">
      <c r="D103" s="10">
        <v>9</v>
      </c>
      <c r="E103" s="51">
        <v>0</v>
      </c>
      <c r="F103" s="51">
        <v>41.67</v>
      </c>
      <c r="G103" s="100">
        <v>0</v>
      </c>
      <c r="H103" s="100">
        <v>0</v>
      </c>
      <c r="I103" s="51">
        <v>0</v>
      </c>
      <c r="J103" s="51">
        <v>0</v>
      </c>
      <c r="K103" s="100">
        <v>0</v>
      </c>
      <c r="L103" s="100">
        <v>0</v>
      </c>
      <c r="M103" s="51">
        <v>20</v>
      </c>
      <c r="N103" s="51">
        <v>0</v>
      </c>
      <c r="O103" s="100">
        <v>0</v>
      </c>
      <c r="P103" s="100">
        <v>20</v>
      </c>
      <c r="R103" s="51">
        <v>20</v>
      </c>
      <c r="S103" s="51">
        <v>61.67</v>
      </c>
    </row>
    <row r="104" spans="4:19" x14ac:dyDescent="0.25">
      <c r="D104" s="10">
        <v>10</v>
      </c>
      <c r="E104" s="51">
        <v>0</v>
      </c>
      <c r="F104" s="51">
        <v>41.67</v>
      </c>
      <c r="G104" s="100">
        <v>0</v>
      </c>
      <c r="H104" s="100">
        <v>0</v>
      </c>
      <c r="I104" s="51">
        <v>0</v>
      </c>
      <c r="J104" s="51">
        <v>0</v>
      </c>
      <c r="K104" s="100">
        <v>0</v>
      </c>
      <c r="L104" s="100">
        <v>0</v>
      </c>
      <c r="M104" s="51">
        <v>20</v>
      </c>
      <c r="N104" s="51">
        <v>0</v>
      </c>
      <c r="O104" s="100">
        <v>0</v>
      </c>
      <c r="P104" s="100">
        <v>20</v>
      </c>
      <c r="R104" s="51">
        <v>20</v>
      </c>
      <c r="S104" s="51">
        <v>61.67</v>
      </c>
    </row>
    <row r="105" spans="4:19" x14ac:dyDescent="0.25">
      <c r="D105" s="10">
        <v>11</v>
      </c>
      <c r="E105" s="51">
        <v>0</v>
      </c>
      <c r="F105" s="51">
        <v>41.67</v>
      </c>
      <c r="G105" s="100">
        <v>0</v>
      </c>
      <c r="H105" s="100">
        <v>0</v>
      </c>
      <c r="I105" s="51">
        <v>0</v>
      </c>
      <c r="J105" s="51">
        <v>0</v>
      </c>
      <c r="K105" s="100">
        <v>0</v>
      </c>
      <c r="L105" s="100">
        <v>0</v>
      </c>
      <c r="M105" s="51">
        <v>20</v>
      </c>
      <c r="N105" s="51">
        <v>0</v>
      </c>
      <c r="O105" s="100">
        <v>0</v>
      </c>
      <c r="P105" s="100">
        <v>20</v>
      </c>
      <c r="R105" s="51">
        <v>20</v>
      </c>
      <c r="S105" s="51">
        <v>61.67</v>
      </c>
    </row>
    <row r="106" spans="4:19" x14ac:dyDescent="0.25">
      <c r="D106" s="10">
        <v>12</v>
      </c>
      <c r="E106" s="51">
        <v>0</v>
      </c>
      <c r="F106" s="51">
        <v>41.67</v>
      </c>
      <c r="G106" s="100">
        <v>0</v>
      </c>
      <c r="H106" s="100">
        <v>0</v>
      </c>
      <c r="I106" s="51">
        <v>0</v>
      </c>
      <c r="J106" s="51">
        <v>0</v>
      </c>
      <c r="K106" s="100">
        <v>0</v>
      </c>
      <c r="L106" s="100">
        <v>0</v>
      </c>
      <c r="M106" s="51">
        <v>20</v>
      </c>
      <c r="N106" s="51">
        <v>0</v>
      </c>
      <c r="O106" s="100">
        <v>0</v>
      </c>
      <c r="P106" s="100">
        <v>20</v>
      </c>
      <c r="R106" s="51">
        <v>20</v>
      </c>
      <c r="S106" s="51">
        <v>61.67</v>
      </c>
    </row>
    <row r="107" spans="4:19" x14ac:dyDescent="0.25">
      <c r="D107" s="10">
        <v>13</v>
      </c>
      <c r="E107" s="51">
        <v>0</v>
      </c>
      <c r="F107" s="51">
        <v>41.67</v>
      </c>
      <c r="G107" s="100">
        <v>0</v>
      </c>
      <c r="H107" s="100">
        <v>0</v>
      </c>
      <c r="I107" s="51">
        <v>0</v>
      </c>
      <c r="J107" s="51">
        <v>0</v>
      </c>
      <c r="K107" s="100">
        <v>0</v>
      </c>
      <c r="L107" s="100">
        <v>0</v>
      </c>
      <c r="M107" s="51">
        <v>250</v>
      </c>
      <c r="N107" s="51">
        <v>0</v>
      </c>
      <c r="O107" s="100">
        <v>0</v>
      </c>
      <c r="P107" s="100">
        <v>250</v>
      </c>
      <c r="R107" s="51">
        <v>250</v>
      </c>
      <c r="S107" s="51">
        <v>291.67</v>
      </c>
    </row>
    <row r="108" spans="4:19" x14ac:dyDescent="0.25">
      <c r="D108" s="10">
        <v>14</v>
      </c>
      <c r="E108" s="51">
        <v>0</v>
      </c>
      <c r="F108" s="51">
        <v>41.67</v>
      </c>
      <c r="G108" s="100">
        <v>90</v>
      </c>
      <c r="H108" s="100">
        <v>0</v>
      </c>
      <c r="I108" s="51">
        <v>0</v>
      </c>
      <c r="J108" s="51">
        <v>0</v>
      </c>
      <c r="K108" s="100">
        <v>0</v>
      </c>
      <c r="L108" s="100">
        <v>0</v>
      </c>
      <c r="M108" s="51">
        <v>250</v>
      </c>
      <c r="N108" s="51">
        <v>0</v>
      </c>
      <c r="O108" s="100">
        <v>0</v>
      </c>
      <c r="P108" s="100">
        <v>250</v>
      </c>
      <c r="R108" s="51">
        <v>340</v>
      </c>
      <c r="S108" s="51">
        <v>291.67</v>
      </c>
    </row>
    <row r="109" spans="4:19" x14ac:dyDescent="0.25">
      <c r="D109" s="10">
        <v>15</v>
      </c>
      <c r="E109" s="51">
        <v>0</v>
      </c>
      <c r="F109" s="51">
        <v>41.67</v>
      </c>
      <c r="G109" s="100">
        <v>90</v>
      </c>
      <c r="H109" s="100">
        <v>0</v>
      </c>
      <c r="I109" s="51">
        <v>0</v>
      </c>
      <c r="J109" s="51">
        <v>0</v>
      </c>
      <c r="K109" s="100">
        <v>0</v>
      </c>
      <c r="L109" s="100">
        <v>0</v>
      </c>
      <c r="M109" s="51">
        <v>250</v>
      </c>
      <c r="N109" s="51">
        <v>0</v>
      </c>
      <c r="O109" s="100">
        <v>0</v>
      </c>
      <c r="P109" s="100">
        <v>250</v>
      </c>
      <c r="R109" s="51">
        <v>340</v>
      </c>
      <c r="S109" s="51">
        <v>291.67</v>
      </c>
    </row>
    <row r="110" spans="4:19" x14ac:dyDescent="0.25">
      <c r="D110" s="10">
        <v>16</v>
      </c>
      <c r="E110" s="51">
        <v>0</v>
      </c>
      <c r="F110" s="51">
        <v>41.67</v>
      </c>
      <c r="G110" s="100">
        <v>0</v>
      </c>
      <c r="H110" s="100">
        <v>0</v>
      </c>
      <c r="I110" s="51">
        <v>0</v>
      </c>
      <c r="J110" s="51">
        <v>0</v>
      </c>
      <c r="K110" s="100">
        <v>0</v>
      </c>
      <c r="L110" s="100">
        <v>0</v>
      </c>
      <c r="M110" s="51">
        <v>250</v>
      </c>
      <c r="N110" s="51">
        <v>0</v>
      </c>
      <c r="O110" s="100">
        <v>0</v>
      </c>
      <c r="P110" s="100">
        <v>250</v>
      </c>
      <c r="R110" s="51">
        <v>250</v>
      </c>
      <c r="S110" s="51">
        <v>291.67</v>
      </c>
    </row>
    <row r="111" spans="4:19" x14ac:dyDescent="0.25">
      <c r="D111" s="10">
        <v>17</v>
      </c>
      <c r="E111" s="51">
        <v>0</v>
      </c>
      <c r="F111" s="51">
        <v>41.67</v>
      </c>
      <c r="G111" s="100">
        <v>0</v>
      </c>
      <c r="H111" s="100">
        <v>0</v>
      </c>
      <c r="I111" s="51">
        <v>0</v>
      </c>
      <c r="J111" s="51">
        <v>0</v>
      </c>
      <c r="K111" s="100">
        <v>0</v>
      </c>
      <c r="L111" s="100">
        <v>0</v>
      </c>
      <c r="M111" s="51">
        <v>250</v>
      </c>
      <c r="N111" s="51">
        <v>0</v>
      </c>
      <c r="O111" s="100">
        <v>0</v>
      </c>
      <c r="P111" s="100">
        <v>250</v>
      </c>
      <c r="R111" s="51">
        <v>250</v>
      </c>
      <c r="S111" s="51">
        <v>291.67</v>
      </c>
    </row>
    <row r="112" spans="4:19" x14ac:dyDescent="0.25">
      <c r="D112" s="10">
        <v>18</v>
      </c>
      <c r="E112" s="51">
        <v>0</v>
      </c>
      <c r="F112" s="51">
        <v>41.67</v>
      </c>
      <c r="G112" s="100">
        <v>90</v>
      </c>
      <c r="H112" s="100">
        <v>0</v>
      </c>
      <c r="I112" s="51">
        <v>0</v>
      </c>
      <c r="J112" s="51">
        <v>0</v>
      </c>
      <c r="K112" s="100">
        <v>0</v>
      </c>
      <c r="L112" s="100">
        <v>0</v>
      </c>
      <c r="M112" s="51">
        <v>250</v>
      </c>
      <c r="N112" s="51">
        <v>0</v>
      </c>
      <c r="O112" s="100">
        <v>0</v>
      </c>
      <c r="P112" s="100">
        <v>250</v>
      </c>
      <c r="R112" s="51">
        <v>340</v>
      </c>
      <c r="S112" s="51">
        <v>291.67</v>
      </c>
    </row>
    <row r="113" spans="4:19" x14ac:dyDescent="0.25">
      <c r="D113" s="10">
        <v>19</v>
      </c>
      <c r="E113" s="51">
        <v>0</v>
      </c>
      <c r="F113" s="51">
        <v>41.67</v>
      </c>
      <c r="G113" s="100">
        <v>90</v>
      </c>
      <c r="H113" s="100">
        <v>0</v>
      </c>
      <c r="I113" s="51">
        <v>0</v>
      </c>
      <c r="J113" s="51">
        <v>0</v>
      </c>
      <c r="K113" s="100">
        <v>0</v>
      </c>
      <c r="L113" s="100">
        <v>0</v>
      </c>
      <c r="M113" s="51">
        <v>250</v>
      </c>
      <c r="N113" s="51">
        <v>0</v>
      </c>
      <c r="O113" s="100">
        <v>0</v>
      </c>
      <c r="P113" s="100">
        <v>250</v>
      </c>
      <c r="R113" s="51">
        <v>340</v>
      </c>
      <c r="S113" s="51">
        <v>291.67</v>
      </c>
    </row>
    <row r="114" spans="4:19" x14ac:dyDescent="0.25">
      <c r="D114" s="10">
        <v>20</v>
      </c>
      <c r="E114" s="51">
        <v>0</v>
      </c>
      <c r="F114" s="51">
        <v>41.67</v>
      </c>
      <c r="G114" s="100">
        <v>90</v>
      </c>
      <c r="H114" s="100">
        <v>0</v>
      </c>
      <c r="I114" s="51">
        <v>250</v>
      </c>
      <c r="J114" s="51">
        <v>250</v>
      </c>
      <c r="K114" s="100">
        <v>250</v>
      </c>
      <c r="L114" s="100">
        <v>0</v>
      </c>
      <c r="M114" s="51">
        <v>250</v>
      </c>
      <c r="N114" s="51">
        <v>0</v>
      </c>
      <c r="O114" s="100">
        <v>0</v>
      </c>
      <c r="P114" s="100">
        <v>500</v>
      </c>
      <c r="R114" s="51">
        <v>840</v>
      </c>
      <c r="S114" s="51">
        <v>791.67</v>
      </c>
    </row>
    <row r="115" spans="4:19" x14ac:dyDescent="0.25">
      <c r="D115" s="10">
        <v>21</v>
      </c>
      <c r="E115" s="51">
        <v>0</v>
      </c>
      <c r="F115" s="51">
        <v>41.67</v>
      </c>
      <c r="G115" s="100">
        <v>90</v>
      </c>
      <c r="H115" s="100">
        <v>0</v>
      </c>
      <c r="I115" s="51">
        <v>250</v>
      </c>
      <c r="J115" s="51">
        <v>250</v>
      </c>
      <c r="K115" s="100">
        <v>250</v>
      </c>
      <c r="L115" s="100">
        <v>0</v>
      </c>
      <c r="M115" s="51">
        <v>250</v>
      </c>
      <c r="N115" s="51">
        <v>0</v>
      </c>
      <c r="O115" s="100">
        <v>0</v>
      </c>
      <c r="P115" s="100">
        <v>500</v>
      </c>
      <c r="R115" s="51">
        <v>840</v>
      </c>
      <c r="S115" s="51">
        <v>791.67</v>
      </c>
    </row>
    <row r="116" spans="4:19" x14ac:dyDescent="0.25">
      <c r="D116" s="10">
        <v>22</v>
      </c>
      <c r="E116" s="51">
        <v>0</v>
      </c>
      <c r="F116" s="51">
        <v>41.67</v>
      </c>
      <c r="G116" s="100">
        <v>90</v>
      </c>
      <c r="H116" s="100">
        <v>0</v>
      </c>
      <c r="I116" s="51">
        <v>250</v>
      </c>
      <c r="J116" s="51">
        <v>250</v>
      </c>
      <c r="K116" s="100">
        <v>250</v>
      </c>
      <c r="L116" s="100">
        <v>0</v>
      </c>
      <c r="M116" s="51">
        <v>250</v>
      </c>
      <c r="N116" s="51">
        <v>0</v>
      </c>
      <c r="O116" s="100">
        <v>0</v>
      </c>
      <c r="P116" s="100">
        <v>500</v>
      </c>
      <c r="R116" s="51">
        <v>840</v>
      </c>
      <c r="S116" s="51">
        <v>791.67</v>
      </c>
    </row>
    <row r="117" spans="4:19" x14ac:dyDescent="0.25">
      <c r="D117" s="10">
        <v>23</v>
      </c>
      <c r="E117" s="51">
        <v>0</v>
      </c>
      <c r="F117" s="51">
        <v>41.67</v>
      </c>
      <c r="G117" s="100">
        <v>90</v>
      </c>
      <c r="H117" s="100">
        <v>0</v>
      </c>
      <c r="I117" s="51">
        <v>250</v>
      </c>
      <c r="J117" s="51">
        <v>250</v>
      </c>
      <c r="K117" s="100">
        <v>250</v>
      </c>
      <c r="L117" s="100">
        <v>0</v>
      </c>
      <c r="M117" s="51">
        <v>250</v>
      </c>
      <c r="N117" s="51">
        <v>0</v>
      </c>
      <c r="O117" s="100">
        <v>0</v>
      </c>
      <c r="P117" s="100">
        <v>500</v>
      </c>
      <c r="R117" s="51">
        <v>840</v>
      </c>
      <c r="S117" s="51">
        <v>791.67</v>
      </c>
    </row>
    <row r="118" spans="4:19" x14ac:dyDescent="0.25">
      <c r="D118" s="10">
        <v>24</v>
      </c>
      <c r="E118" s="51">
        <v>0</v>
      </c>
      <c r="F118" s="51">
        <v>41.67</v>
      </c>
      <c r="G118" s="100">
        <v>90</v>
      </c>
      <c r="H118" s="100">
        <v>0</v>
      </c>
      <c r="I118" s="51">
        <v>250</v>
      </c>
      <c r="J118" s="51">
        <v>250</v>
      </c>
      <c r="K118" s="100">
        <v>250</v>
      </c>
      <c r="L118" s="100">
        <v>0</v>
      </c>
      <c r="M118" s="51">
        <v>250</v>
      </c>
      <c r="N118" s="51">
        <v>0</v>
      </c>
      <c r="O118" s="100">
        <v>0</v>
      </c>
      <c r="P118" s="100">
        <v>500</v>
      </c>
      <c r="R118" s="51">
        <v>840</v>
      </c>
      <c r="S118" s="51">
        <v>791.67</v>
      </c>
    </row>
    <row r="119" spans="4:19" x14ac:dyDescent="0.25">
      <c r="D119" s="10">
        <v>25</v>
      </c>
      <c r="E119" s="51">
        <v>0</v>
      </c>
      <c r="F119" s="51">
        <v>0</v>
      </c>
      <c r="G119" s="100">
        <v>90</v>
      </c>
      <c r="H119" s="100">
        <v>0</v>
      </c>
      <c r="I119" s="51">
        <v>250</v>
      </c>
      <c r="J119" s="51">
        <v>250</v>
      </c>
      <c r="K119" s="100">
        <v>250</v>
      </c>
      <c r="L119" s="100">
        <v>0</v>
      </c>
      <c r="M119" s="51">
        <v>250</v>
      </c>
      <c r="N119" s="51">
        <v>0</v>
      </c>
      <c r="O119" s="100">
        <v>0</v>
      </c>
      <c r="P119" s="100">
        <v>500</v>
      </c>
      <c r="R119" s="51">
        <v>840</v>
      </c>
      <c r="S119" s="51">
        <v>750</v>
      </c>
    </row>
    <row r="120" spans="4:19" x14ac:dyDescent="0.25">
      <c r="D120" s="10">
        <v>26</v>
      </c>
      <c r="E120" s="51">
        <v>0</v>
      </c>
      <c r="F120" s="51">
        <v>0</v>
      </c>
      <c r="G120" s="100">
        <v>90</v>
      </c>
      <c r="H120" s="100">
        <v>0</v>
      </c>
      <c r="I120" s="51">
        <v>250</v>
      </c>
      <c r="J120" s="51">
        <v>250</v>
      </c>
      <c r="K120" s="100">
        <v>250</v>
      </c>
      <c r="L120" s="100">
        <v>0</v>
      </c>
      <c r="M120" s="51">
        <v>250</v>
      </c>
      <c r="N120" s="51">
        <v>0</v>
      </c>
      <c r="O120" s="100">
        <v>0</v>
      </c>
      <c r="P120" s="100">
        <v>500</v>
      </c>
      <c r="R120" s="51">
        <v>840</v>
      </c>
      <c r="S120" s="51">
        <v>750</v>
      </c>
    </row>
    <row r="121" spans="4:19" x14ac:dyDescent="0.25">
      <c r="D121" s="10">
        <v>27</v>
      </c>
      <c r="E121" s="51">
        <v>0</v>
      </c>
      <c r="F121" s="51">
        <v>0</v>
      </c>
      <c r="G121" s="100">
        <v>0</v>
      </c>
      <c r="H121" s="100">
        <v>0</v>
      </c>
      <c r="I121" s="51">
        <v>250</v>
      </c>
      <c r="J121" s="51">
        <v>250</v>
      </c>
      <c r="K121" s="100">
        <v>250</v>
      </c>
      <c r="L121" s="100">
        <v>0</v>
      </c>
      <c r="M121" s="51">
        <v>250</v>
      </c>
      <c r="N121" s="51">
        <v>0</v>
      </c>
      <c r="O121" s="100">
        <v>0</v>
      </c>
      <c r="P121" s="100">
        <v>500</v>
      </c>
      <c r="R121" s="51">
        <v>750</v>
      </c>
      <c r="S121" s="51">
        <v>750</v>
      </c>
    </row>
    <row r="122" spans="4:19" x14ac:dyDescent="0.25">
      <c r="D122" s="10">
        <v>28</v>
      </c>
      <c r="E122" s="51">
        <v>0</v>
      </c>
      <c r="F122" s="51">
        <v>0</v>
      </c>
      <c r="G122" s="100">
        <v>0</v>
      </c>
      <c r="H122" s="100">
        <v>0</v>
      </c>
      <c r="I122" s="51">
        <v>250</v>
      </c>
      <c r="J122" s="51">
        <v>250</v>
      </c>
      <c r="K122" s="100">
        <v>250</v>
      </c>
      <c r="L122" s="100">
        <v>0</v>
      </c>
      <c r="M122" s="51">
        <v>250</v>
      </c>
      <c r="N122" s="51">
        <v>0</v>
      </c>
      <c r="O122" s="100">
        <v>0</v>
      </c>
      <c r="P122" s="100">
        <v>500</v>
      </c>
      <c r="R122" s="51">
        <v>750</v>
      </c>
      <c r="S122" s="51">
        <v>750</v>
      </c>
    </row>
    <row r="123" spans="4:19" x14ac:dyDescent="0.25">
      <c r="D123" s="10">
        <v>29</v>
      </c>
      <c r="E123" s="51">
        <v>0</v>
      </c>
      <c r="F123" s="51">
        <v>0</v>
      </c>
      <c r="G123" s="100">
        <v>90</v>
      </c>
      <c r="H123" s="100">
        <v>0</v>
      </c>
      <c r="I123" s="51">
        <v>250</v>
      </c>
      <c r="J123" s="51">
        <v>250</v>
      </c>
      <c r="K123" s="100">
        <v>250</v>
      </c>
      <c r="L123" s="100">
        <v>0</v>
      </c>
      <c r="M123" s="51">
        <v>250</v>
      </c>
      <c r="N123" s="51">
        <v>0</v>
      </c>
      <c r="O123" s="100">
        <v>0</v>
      </c>
      <c r="P123" s="100">
        <v>500</v>
      </c>
      <c r="R123" s="51">
        <v>840</v>
      </c>
      <c r="S123" s="51">
        <v>750</v>
      </c>
    </row>
    <row r="124" spans="4:19" x14ac:dyDescent="0.25">
      <c r="D124" s="10">
        <v>30</v>
      </c>
      <c r="E124" s="51">
        <v>0</v>
      </c>
      <c r="F124" s="51">
        <v>0</v>
      </c>
      <c r="G124" s="100">
        <v>90</v>
      </c>
      <c r="H124" s="100">
        <v>0</v>
      </c>
      <c r="I124" s="51">
        <v>250</v>
      </c>
      <c r="J124" s="51">
        <v>250</v>
      </c>
      <c r="K124" s="100">
        <v>250</v>
      </c>
      <c r="L124" s="100">
        <v>0</v>
      </c>
      <c r="M124" s="51">
        <v>250</v>
      </c>
      <c r="N124" s="51">
        <v>0</v>
      </c>
      <c r="O124" s="100">
        <v>0</v>
      </c>
      <c r="P124" s="100">
        <v>500</v>
      </c>
      <c r="R124" s="51">
        <v>840</v>
      </c>
      <c r="S124" s="51">
        <v>750</v>
      </c>
    </row>
    <row r="125" spans="4:19" x14ac:dyDescent="0.25">
      <c r="D125" s="10">
        <v>31</v>
      </c>
      <c r="E125" s="51">
        <v>0</v>
      </c>
      <c r="F125" s="51">
        <v>0</v>
      </c>
      <c r="G125" s="100">
        <v>90</v>
      </c>
      <c r="H125" s="100">
        <v>0</v>
      </c>
      <c r="I125" s="51">
        <v>250</v>
      </c>
      <c r="J125" s="51">
        <v>250</v>
      </c>
      <c r="K125" s="100">
        <v>250</v>
      </c>
      <c r="L125" s="100">
        <v>0</v>
      </c>
      <c r="M125" s="51">
        <v>250</v>
      </c>
      <c r="N125" s="51">
        <v>0</v>
      </c>
      <c r="O125" s="100">
        <v>0</v>
      </c>
      <c r="P125" s="100">
        <v>500</v>
      </c>
      <c r="R125" s="51">
        <v>840</v>
      </c>
      <c r="S125" s="51">
        <v>750</v>
      </c>
    </row>
    <row r="126" spans="4:19" x14ac:dyDescent="0.25">
      <c r="D126" s="10">
        <v>32</v>
      </c>
      <c r="E126" s="51">
        <v>0</v>
      </c>
      <c r="F126" s="51">
        <v>0</v>
      </c>
      <c r="G126" s="100">
        <v>90</v>
      </c>
      <c r="H126" s="100">
        <v>0</v>
      </c>
      <c r="I126" s="51">
        <v>0</v>
      </c>
      <c r="J126" s="51">
        <v>0</v>
      </c>
      <c r="K126" s="100">
        <v>0</v>
      </c>
      <c r="L126" s="100">
        <v>0</v>
      </c>
      <c r="M126" s="51">
        <v>0</v>
      </c>
      <c r="N126" s="51">
        <v>0</v>
      </c>
      <c r="O126" s="100">
        <v>0</v>
      </c>
      <c r="P126" s="100">
        <v>0</v>
      </c>
      <c r="R126" s="51">
        <v>90</v>
      </c>
      <c r="S126" s="51">
        <v>0</v>
      </c>
    </row>
    <row r="127" spans="4:19" x14ac:dyDescent="0.25">
      <c r="D127" s="10">
        <v>33</v>
      </c>
      <c r="E127" s="51">
        <v>0</v>
      </c>
      <c r="F127" s="51">
        <v>0</v>
      </c>
      <c r="G127" s="100">
        <v>90</v>
      </c>
      <c r="H127" s="100">
        <v>0</v>
      </c>
      <c r="I127" s="51">
        <v>0</v>
      </c>
      <c r="J127" s="51">
        <v>0</v>
      </c>
      <c r="K127" s="100">
        <v>0</v>
      </c>
      <c r="L127" s="100">
        <v>0</v>
      </c>
      <c r="M127" s="51">
        <v>0</v>
      </c>
      <c r="N127" s="51">
        <v>0</v>
      </c>
      <c r="O127" s="100">
        <v>0</v>
      </c>
      <c r="P127" s="100">
        <v>0</v>
      </c>
      <c r="R127" s="51">
        <v>90</v>
      </c>
      <c r="S127" s="51">
        <v>0</v>
      </c>
    </row>
    <row r="128" spans="4:19" x14ac:dyDescent="0.25">
      <c r="D128" s="10">
        <v>34</v>
      </c>
      <c r="E128" s="51">
        <v>0</v>
      </c>
      <c r="F128" s="51">
        <v>0</v>
      </c>
      <c r="G128" s="100">
        <v>90</v>
      </c>
      <c r="H128" s="100">
        <v>0</v>
      </c>
      <c r="I128" s="51">
        <v>0</v>
      </c>
      <c r="J128" s="51">
        <v>0</v>
      </c>
      <c r="K128" s="100">
        <v>0</v>
      </c>
      <c r="L128" s="100">
        <v>0</v>
      </c>
      <c r="M128" s="51">
        <v>0</v>
      </c>
      <c r="N128" s="51">
        <v>0</v>
      </c>
      <c r="O128" s="100">
        <v>0</v>
      </c>
      <c r="P128" s="100">
        <v>0</v>
      </c>
      <c r="R128" s="51">
        <v>90</v>
      </c>
      <c r="S128" s="51">
        <v>0</v>
      </c>
    </row>
    <row r="129" spans="4:19" x14ac:dyDescent="0.25">
      <c r="D129" s="10">
        <v>35</v>
      </c>
      <c r="E129" s="51">
        <v>0</v>
      </c>
      <c r="F129" s="51">
        <v>0</v>
      </c>
      <c r="G129" s="100">
        <v>90</v>
      </c>
      <c r="H129" s="100">
        <v>0</v>
      </c>
      <c r="I129" s="51">
        <v>0</v>
      </c>
      <c r="J129" s="51">
        <v>0</v>
      </c>
      <c r="K129" s="100">
        <v>0</v>
      </c>
      <c r="L129" s="100">
        <v>0</v>
      </c>
      <c r="M129" s="51">
        <v>0</v>
      </c>
      <c r="N129" s="51">
        <v>0</v>
      </c>
      <c r="O129" s="100">
        <v>0</v>
      </c>
      <c r="P129" s="100">
        <v>0</v>
      </c>
      <c r="R129" s="51">
        <v>90</v>
      </c>
      <c r="S129" s="51">
        <v>0</v>
      </c>
    </row>
    <row r="130" spans="4:19" x14ac:dyDescent="0.25">
      <c r="D130" s="10">
        <v>36</v>
      </c>
      <c r="E130" s="51">
        <v>0</v>
      </c>
      <c r="F130" s="51">
        <v>0</v>
      </c>
      <c r="G130" s="100">
        <v>90</v>
      </c>
      <c r="H130" s="100">
        <v>0</v>
      </c>
      <c r="I130" s="51">
        <v>0</v>
      </c>
      <c r="J130" s="51">
        <v>0</v>
      </c>
      <c r="K130" s="100">
        <v>0</v>
      </c>
      <c r="L130" s="100">
        <v>0</v>
      </c>
      <c r="M130" s="51">
        <v>0</v>
      </c>
      <c r="N130" s="51">
        <v>0</v>
      </c>
      <c r="O130" s="100">
        <v>0</v>
      </c>
      <c r="P130" s="100">
        <v>0</v>
      </c>
      <c r="R130" s="51">
        <v>90</v>
      </c>
      <c r="S130" s="51">
        <v>0</v>
      </c>
    </row>
    <row r="131" spans="4:19" x14ac:dyDescent="0.25">
      <c r="D131" s="10">
        <v>37</v>
      </c>
      <c r="E131" s="51">
        <v>0</v>
      </c>
      <c r="F131" s="51">
        <v>0</v>
      </c>
      <c r="G131" s="100">
        <v>90</v>
      </c>
      <c r="H131" s="100">
        <v>0</v>
      </c>
      <c r="I131" s="51">
        <v>0</v>
      </c>
      <c r="J131" s="51">
        <v>0</v>
      </c>
      <c r="K131" s="100">
        <v>0</v>
      </c>
      <c r="L131" s="100">
        <v>0</v>
      </c>
      <c r="M131" s="51">
        <v>0</v>
      </c>
      <c r="N131" s="51">
        <v>0</v>
      </c>
      <c r="O131" s="100">
        <v>0</v>
      </c>
      <c r="P131" s="100">
        <v>0</v>
      </c>
      <c r="R131" s="51">
        <v>90</v>
      </c>
      <c r="S131" s="51">
        <v>0</v>
      </c>
    </row>
    <row r="132" spans="4:19" x14ac:dyDescent="0.25">
      <c r="D132" s="10">
        <v>38</v>
      </c>
      <c r="E132" s="51">
        <v>0</v>
      </c>
      <c r="F132" s="51">
        <v>0</v>
      </c>
      <c r="G132" s="100">
        <v>0</v>
      </c>
      <c r="H132" s="100">
        <v>0</v>
      </c>
      <c r="I132" s="51">
        <v>0</v>
      </c>
      <c r="J132" s="51">
        <v>0</v>
      </c>
      <c r="K132" s="100">
        <v>0</v>
      </c>
      <c r="L132" s="100">
        <v>0</v>
      </c>
      <c r="M132" s="51">
        <v>0</v>
      </c>
      <c r="N132" s="51">
        <v>0</v>
      </c>
      <c r="O132" s="100">
        <v>0</v>
      </c>
      <c r="P132" s="100">
        <v>0</v>
      </c>
      <c r="R132" s="51">
        <v>0</v>
      </c>
      <c r="S132" s="51">
        <v>0</v>
      </c>
    </row>
    <row r="133" spans="4:19" x14ac:dyDescent="0.25">
      <c r="D133" s="10">
        <v>39</v>
      </c>
      <c r="E133" s="51">
        <v>0</v>
      </c>
      <c r="F133" s="51">
        <v>0</v>
      </c>
      <c r="G133" s="100">
        <v>0</v>
      </c>
      <c r="H133" s="100">
        <v>0</v>
      </c>
      <c r="I133" s="51">
        <v>0</v>
      </c>
      <c r="J133" s="51">
        <v>0</v>
      </c>
      <c r="K133" s="100">
        <v>0</v>
      </c>
      <c r="L133" s="100">
        <v>0</v>
      </c>
      <c r="M133" s="51">
        <v>0</v>
      </c>
      <c r="N133" s="51">
        <v>0</v>
      </c>
      <c r="O133" s="100">
        <v>0</v>
      </c>
      <c r="P133" s="100">
        <v>0</v>
      </c>
      <c r="R133" s="51">
        <v>0</v>
      </c>
      <c r="S133" s="51">
        <v>0</v>
      </c>
    </row>
    <row r="134" spans="4:19" x14ac:dyDescent="0.25">
      <c r="D134" s="10">
        <v>40</v>
      </c>
      <c r="E134" s="51">
        <v>0</v>
      </c>
      <c r="F134" s="51">
        <v>0</v>
      </c>
      <c r="G134" s="100">
        <v>0</v>
      </c>
      <c r="H134" s="100">
        <v>0</v>
      </c>
      <c r="I134" s="51">
        <v>0</v>
      </c>
      <c r="J134" s="51">
        <v>0</v>
      </c>
      <c r="K134" s="100">
        <v>0</v>
      </c>
      <c r="L134" s="100">
        <v>0</v>
      </c>
      <c r="M134" s="51">
        <v>0</v>
      </c>
      <c r="N134" s="51">
        <v>0</v>
      </c>
      <c r="O134" s="100">
        <v>0</v>
      </c>
      <c r="P134" s="100">
        <v>0</v>
      </c>
      <c r="R134" s="51">
        <v>0</v>
      </c>
      <c r="S134" s="51">
        <v>0</v>
      </c>
    </row>
    <row r="135" spans="4:19" x14ac:dyDescent="0.25">
      <c r="D135" s="10">
        <v>41</v>
      </c>
      <c r="E135" s="51">
        <v>0</v>
      </c>
      <c r="F135" s="51">
        <v>0</v>
      </c>
      <c r="G135" s="100">
        <v>0</v>
      </c>
      <c r="H135" s="100">
        <v>0</v>
      </c>
      <c r="I135" s="51">
        <v>0</v>
      </c>
      <c r="J135" s="51">
        <v>0</v>
      </c>
      <c r="K135" s="100">
        <v>0</v>
      </c>
      <c r="L135" s="100">
        <v>0</v>
      </c>
      <c r="M135" s="51">
        <v>0</v>
      </c>
      <c r="N135" s="51">
        <v>0</v>
      </c>
      <c r="O135" s="100">
        <v>0</v>
      </c>
      <c r="P135" s="100">
        <v>0</v>
      </c>
      <c r="R135" s="51">
        <v>0</v>
      </c>
      <c r="S135" s="51">
        <v>0</v>
      </c>
    </row>
    <row r="136" spans="4:19" x14ac:dyDescent="0.25">
      <c r="D136" s="10">
        <v>42</v>
      </c>
      <c r="E136" s="51">
        <v>0</v>
      </c>
      <c r="F136" s="51">
        <v>0</v>
      </c>
      <c r="G136" s="100">
        <v>0</v>
      </c>
      <c r="H136" s="100">
        <v>0</v>
      </c>
      <c r="I136" s="51">
        <v>0</v>
      </c>
      <c r="J136" s="51">
        <v>0</v>
      </c>
      <c r="K136" s="100">
        <v>0</v>
      </c>
      <c r="L136" s="100">
        <v>0</v>
      </c>
      <c r="M136" s="51">
        <v>0</v>
      </c>
      <c r="N136" s="51">
        <v>0</v>
      </c>
      <c r="O136" s="100">
        <v>0</v>
      </c>
      <c r="P136" s="100">
        <v>0</v>
      </c>
      <c r="R136" s="51">
        <v>0</v>
      </c>
      <c r="S136" s="51">
        <v>0</v>
      </c>
    </row>
    <row r="137" spans="4:19" x14ac:dyDescent="0.25">
      <c r="D137" s="10">
        <v>43</v>
      </c>
      <c r="E137" s="51">
        <v>0</v>
      </c>
      <c r="F137" s="51">
        <v>0</v>
      </c>
      <c r="G137" s="100">
        <v>0</v>
      </c>
      <c r="H137" s="100">
        <v>0</v>
      </c>
      <c r="I137" s="51">
        <v>0</v>
      </c>
      <c r="J137" s="51">
        <v>0</v>
      </c>
      <c r="K137" s="100">
        <v>0</v>
      </c>
      <c r="L137" s="100">
        <v>0</v>
      </c>
      <c r="M137" s="51">
        <v>0</v>
      </c>
      <c r="N137" s="51">
        <v>0</v>
      </c>
      <c r="O137" s="100">
        <v>0</v>
      </c>
      <c r="P137" s="100">
        <v>0</v>
      </c>
      <c r="R137" s="51">
        <v>0</v>
      </c>
      <c r="S137" s="51">
        <v>0</v>
      </c>
    </row>
    <row r="138" spans="4:19" x14ac:dyDescent="0.25">
      <c r="D138" s="10">
        <v>44</v>
      </c>
      <c r="E138" s="51">
        <v>0</v>
      </c>
      <c r="F138" s="51">
        <v>0</v>
      </c>
      <c r="G138" s="100">
        <v>0</v>
      </c>
      <c r="H138" s="100">
        <v>0</v>
      </c>
      <c r="I138" s="51">
        <v>0</v>
      </c>
      <c r="J138" s="51">
        <v>0</v>
      </c>
      <c r="K138" s="100">
        <v>0</v>
      </c>
      <c r="L138" s="100">
        <v>0</v>
      </c>
      <c r="M138" s="51">
        <v>0</v>
      </c>
      <c r="N138" s="51">
        <v>0</v>
      </c>
      <c r="O138" s="100">
        <v>0</v>
      </c>
      <c r="P138" s="100">
        <v>0</v>
      </c>
      <c r="R138" s="51">
        <v>0</v>
      </c>
      <c r="S138" s="51">
        <v>0</v>
      </c>
    </row>
    <row r="139" spans="4:19" x14ac:dyDescent="0.25">
      <c r="D139" s="10">
        <v>45</v>
      </c>
      <c r="E139" s="51">
        <v>0</v>
      </c>
      <c r="F139" s="51">
        <v>0</v>
      </c>
      <c r="G139" s="100">
        <v>0</v>
      </c>
      <c r="H139" s="100">
        <v>0</v>
      </c>
      <c r="I139" s="51">
        <v>0</v>
      </c>
      <c r="J139" s="51">
        <v>0</v>
      </c>
      <c r="K139" s="100">
        <v>0</v>
      </c>
      <c r="L139" s="100">
        <v>0</v>
      </c>
      <c r="M139" s="51">
        <v>0</v>
      </c>
      <c r="N139" s="51">
        <v>0</v>
      </c>
      <c r="O139" s="100">
        <v>0</v>
      </c>
      <c r="P139" s="100">
        <v>0</v>
      </c>
      <c r="R139" s="51">
        <v>0</v>
      </c>
      <c r="S139" s="51">
        <v>0</v>
      </c>
    </row>
    <row r="140" spans="4:19" x14ac:dyDescent="0.25">
      <c r="D140" s="10">
        <v>46</v>
      </c>
      <c r="E140" s="51">
        <v>0</v>
      </c>
      <c r="F140" s="51">
        <v>0</v>
      </c>
      <c r="G140" s="100">
        <v>0</v>
      </c>
      <c r="H140" s="100">
        <v>0</v>
      </c>
      <c r="I140" s="51">
        <v>0</v>
      </c>
      <c r="J140" s="51">
        <v>0</v>
      </c>
      <c r="K140" s="100">
        <v>0</v>
      </c>
      <c r="L140" s="100">
        <v>0</v>
      </c>
      <c r="M140" s="51">
        <v>0</v>
      </c>
      <c r="N140" s="51">
        <v>0</v>
      </c>
      <c r="O140" s="100">
        <v>0</v>
      </c>
      <c r="P140" s="100">
        <v>0</v>
      </c>
      <c r="R140" s="51">
        <v>0</v>
      </c>
      <c r="S140" s="51">
        <v>0</v>
      </c>
    </row>
    <row r="141" spans="4:19" x14ac:dyDescent="0.25">
      <c r="D141" s="10">
        <v>47</v>
      </c>
      <c r="E141" s="51">
        <v>0</v>
      </c>
      <c r="F141" s="51">
        <v>0</v>
      </c>
      <c r="G141" s="100">
        <v>0</v>
      </c>
      <c r="H141" s="100">
        <v>0</v>
      </c>
      <c r="I141" s="51">
        <v>0</v>
      </c>
      <c r="J141" s="51">
        <v>0</v>
      </c>
      <c r="K141" s="100">
        <v>0</v>
      </c>
      <c r="L141" s="100">
        <v>0</v>
      </c>
      <c r="M141" s="51">
        <v>0</v>
      </c>
      <c r="N141" s="51">
        <v>0</v>
      </c>
      <c r="O141" s="100">
        <v>0</v>
      </c>
      <c r="P141" s="100">
        <v>0</v>
      </c>
      <c r="R141" s="51">
        <v>0</v>
      </c>
      <c r="S141" s="51">
        <v>0</v>
      </c>
    </row>
    <row r="142" spans="4:19" x14ac:dyDescent="0.25">
      <c r="D142" s="10">
        <v>48</v>
      </c>
      <c r="E142" s="51">
        <v>0</v>
      </c>
      <c r="F142" s="51">
        <v>0</v>
      </c>
      <c r="G142" s="100">
        <v>0</v>
      </c>
      <c r="H142" s="100">
        <v>0</v>
      </c>
      <c r="I142" s="51">
        <v>0</v>
      </c>
      <c r="J142" s="51">
        <v>0</v>
      </c>
      <c r="K142" s="100">
        <v>0</v>
      </c>
      <c r="L142" s="100">
        <v>0</v>
      </c>
      <c r="M142" s="51">
        <v>0</v>
      </c>
      <c r="N142" s="51">
        <v>0</v>
      </c>
      <c r="O142" s="100">
        <v>0</v>
      </c>
      <c r="P142" s="100">
        <v>0</v>
      </c>
      <c r="R142" s="51">
        <v>0</v>
      </c>
      <c r="S142" s="51">
        <v>0</v>
      </c>
    </row>
    <row r="143" spans="4:19" x14ac:dyDescent="0.25">
      <c r="D143" s="10">
        <v>49</v>
      </c>
      <c r="E143" s="51">
        <v>0</v>
      </c>
      <c r="F143" s="51">
        <v>0</v>
      </c>
      <c r="G143" s="100">
        <v>0</v>
      </c>
      <c r="H143" s="100">
        <v>0</v>
      </c>
      <c r="I143" s="51">
        <v>0</v>
      </c>
      <c r="J143" s="51">
        <v>0</v>
      </c>
      <c r="K143" s="100">
        <v>0</v>
      </c>
      <c r="L143" s="100">
        <v>0</v>
      </c>
      <c r="M143" s="51">
        <v>0</v>
      </c>
      <c r="N143" s="51">
        <v>0</v>
      </c>
      <c r="O143" s="100">
        <v>0</v>
      </c>
      <c r="P143" s="100">
        <v>0</v>
      </c>
      <c r="R143" s="51">
        <v>0</v>
      </c>
      <c r="S143" s="51">
        <v>0</v>
      </c>
    </row>
    <row r="144" spans="4:19" x14ac:dyDescent="0.25">
      <c r="D144" s="10">
        <v>50</v>
      </c>
      <c r="E144" s="51">
        <v>0</v>
      </c>
      <c r="F144" s="51">
        <v>0</v>
      </c>
      <c r="G144" s="100">
        <v>0</v>
      </c>
      <c r="H144" s="100">
        <v>0</v>
      </c>
      <c r="I144" s="51">
        <v>0</v>
      </c>
      <c r="J144" s="51">
        <v>0</v>
      </c>
      <c r="K144" s="100">
        <v>0</v>
      </c>
      <c r="L144" s="100">
        <v>0</v>
      </c>
      <c r="M144" s="51">
        <v>0</v>
      </c>
      <c r="N144" s="51">
        <v>0</v>
      </c>
      <c r="O144" s="100">
        <v>0</v>
      </c>
      <c r="P144" s="100">
        <v>0</v>
      </c>
      <c r="R144" s="51">
        <v>0</v>
      </c>
      <c r="S144" s="51">
        <v>0</v>
      </c>
    </row>
    <row r="145" spans="4:19" x14ac:dyDescent="0.25">
      <c r="D145" s="10">
        <v>51</v>
      </c>
      <c r="E145" s="51">
        <v>0</v>
      </c>
      <c r="F145" s="51">
        <v>0</v>
      </c>
      <c r="G145" s="100">
        <v>0</v>
      </c>
      <c r="H145" s="100">
        <v>0</v>
      </c>
      <c r="I145" s="51">
        <v>0</v>
      </c>
      <c r="J145" s="51">
        <v>0</v>
      </c>
      <c r="K145" s="100">
        <v>0</v>
      </c>
      <c r="L145" s="100">
        <v>0</v>
      </c>
      <c r="M145" s="51">
        <v>0</v>
      </c>
      <c r="N145" s="51">
        <v>0</v>
      </c>
      <c r="O145" s="100">
        <v>0</v>
      </c>
      <c r="P145" s="100">
        <v>0</v>
      </c>
      <c r="R145" s="51">
        <v>0</v>
      </c>
      <c r="S145" s="51">
        <v>0</v>
      </c>
    </row>
    <row r="146" spans="4:19" x14ac:dyDescent="0.25">
      <c r="D146" s="10">
        <v>52</v>
      </c>
      <c r="E146" s="51">
        <v>0</v>
      </c>
      <c r="F146" s="51">
        <v>0</v>
      </c>
      <c r="G146" s="100">
        <v>0</v>
      </c>
      <c r="H146" s="100">
        <v>0</v>
      </c>
      <c r="I146" s="51">
        <v>0</v>
      </c>
      <c r="J146" s="51">
        <v>0</v>
      </c>
      <c r="K146" s="100">
        <v>0</v>
      </c>
      <c r="L146" s="100">
        <v>0</v>
      </c>
      <c r="M146" s="51">
        <v>0</v>
      </c>
      <c r="N146" s="51">
        <v>0</v>
      </c>
      <c r="O146" s="100">
        <v>0</v>
      </c>
      <c r="P146" s="100">
        <v>0</v>
      </c>
      <c r="R146" s="51">
        <v>0</v>
      </c>
      <c r="S146" s="51">
        <v>0</v>
      </c>
    </row>
    <row r="147" spans="4:19" x14ac:dyDescent="0.25">
      <c r="D147" s="10">
        <v>53</v>
      </c>
      <c r="E147" s="51">
        <v>0</v>
      </c>
      <c r="F147" s="51">
        <v>0</v>
      </c>
      <c r="G147" s="100">
        <v>0</v>
      </c>
      <c r="H147" s="100">
        <v>0</v>
      </c>
      <c r="I147" s="51">
        <v>0</v>
      </c>
      <c r="J147" s="51">
        <v>0</v>
      </c>
      <c r="K147" s="100">
        <v>0</v>
      </c>
      <c r="L147" s="100">
        <v>0</v>
      </c>
      <c r="M147" s="51">
        <v>0</v>
      </c>
      <c r="N147" s="51">
        <v>0</v>
      </c>
      <c r="O147" s="100">
        <v>0</v>
      </c>
      <c r="P147" s="100">
        <v>0</v>
      </c>
      <c r="R147" s="51">
        <v>0</v>
      </c>
      <c r="S147" s="51">
        <v>0</v>
      </c>
    </row>
    <row r="148" spans="4:19" x14ac:dyDescent="0.25">
      <c r="D148" s="10">
        <v>54</v>
      </c>
      <c r="E148" s="51">
        <v>0</v>
      </c>
      <c r="F148" s="51">
        <v>0</v>
      </c>
      <c r="G148" s="100">
        <v>0</v>
      </c>
      <c r="H148" s="100">
        <v>0</v>
      </c>
      <c r="I148" s="51">
        <v>0</v>
      </c>
      <c r="J148" s="51">
        <v>0</v>
      </c>
      <c r="K148" s="100">
        <v>0</v>
      </c>
      <c r="L148" s="100">
        <v>0</v>
      </c>
      <c r="M148" s="51">
        <v>0</v>
      </c>
      <c r="N148" s="51">
        <v>0</v>
      </c>
      <c r="O148" s="100">
        <v>0</v>
      </c>
      <c r="P148" s="100">
        <v>0</v>
      </c>
      <c r="R148" s="51">
        <v>0</v>
      </c>
      <c r="S148" s="51">
        <v>0</v>
      </c>
    </row>
    <row r="149" spans="4:19" x14ac:dyDescent="0.25">
      <c r="D149" s="10">
        <v>55</v>
      </c>
      <c r="E149" s="51">
        <v>0</v>
      </c>
      <c r="F149" s="51">
        <v>0</v>
      </c>
      <c r="G149" s="100">
        <v>0</v>
      </c>
      <c r="H149" s="100">
        <v>0</v>
      </c>
      <c r="I149" s="51">
        <v>0</v>
      </c>
      <c r="J149" s="51">
        <v>0</v>
      </c>
      <c r="K149" s="100">
        <v>0</v>
      </c>
      <c r="L149" s="100">
        <v>0</v>
      </c>
      <c r="M149" s="51">
        <v>0</v>
      </c>
      <c r="N149" s="51">
        <v>0</v>
      </c>
      <c r="O149" s="100">
        <v>0</v>
      </c>
      <c r="P149" s="100">
        <v>0</v>
      </c>
      <c r="R149" s="51">
        <v>0</v>
      </c>
      <c r="S149" s="51">
        <v>0</v>
      </c>
    </row>
    <row r="150" spans="4:19" x14ac:dyDescent="0.25">
      <c r="D150" s="10">
        <v>56</v>
      </c>
      <c r="E150" s="51">
        <v>0</v>
      </c>
      <c r="F150" s="51">
        <v>0</v>
      </c>
      <c r="G150" s="100">
        <v>0</v>
      </c>
      <c r="H150" s="100">
        <v>0</v>
      </c>
      <c r="I150" s="51">
        <v>0</v>
      </c>
      <c r="J150" s="51">
        <v>0</v>
      </c>
      <c r="K150" s="100">
        <v>0</v>
      </c>
      <c r="L150" s="100">
        <v>0</v>
      </c>
      <c r="M150" s="51">
        <v>0</v>
      </c>
      <c r="N150" s="51">
        <v>0</v>
      </c>
      <c r="O150" s="100">
        <v>0</v>
      </c>
      <c r="P150" s="100">
        <v>0</v>
      </c>
      <c r="R150" s="51">
        <v>0</v>
      </c>
      <c r="S150" s="51">
        <v>0</v>
      </c>
    </row>
    <row r="151" spans="4:19" x14ac:dyDescent="0.25">
      <c r="D151" s="10">
        <v>57</v>
      </c>
      <c r="E151" s="51">
        <v>0</v>
      </c>
      <c r="F151" s="51">
        <v>0</v>
      </c>
      <c r="G151" s="100">
        <v>0</v>
      </c>
      <c r="H151" s="100">
        <v>0</v>
      </c>
      <c r="I151" s="51">
        <v>0</v>
      </c>
      <c r="J151" s="51">
        <v>0</v>
      </c>
      <c r="K151" s="100">
        <v>0</v>
      </c>
      <c r="L151" s="100">
        <v>0</v>
      </c>
      <c r="M151" s="51">
        <v>0</v>
      </c>
      <c r="N151" s="51">
        <v>0</v>
      </c>
      <c r="O151" s="100">
        <v>0</v>
      </c>
      <c r="P151" s="100">
        <v>0</v>
      </c>
      <c r="R151" s="51">
        <v>0</v>
      </c>
      <c r="S151" s="51">
        <v>0</v>
      </c>
    </row>
    <row r="152" spans="4:19" x14ac:dyDescent="0.25">
      <c r="D152" s="10">
        <v>58</v>
      </c>
      <c r="E152" s="51">
        <v>0</v>
      </c>
      <c r="F152" s="51">
        <v>0</v>
      </c>
      <c r="G152" s="100">
        <v>0</v>
      </c>
      <c r="H152" s="100">
        <v>0</v>
      </c>
      <c r="I152" s="51">
        <v>0</v>
      </c>
      <c r="J152" s="51">
        <v>0</v>
      </c>
      <c r="K152" s="100">
        <v>0</v>
      </c>
      <c r="L152" s="100">
        <v>0</v>
      </c>
      <c r="M152" s="51">
        <v>0</v>
      </c>
      <c r="N152" s="51">
        <v>0</v>
      </c>
      <c r="O152" s="100">
        <v>0</v>
      </c>
      <c r="P152" s="100">
        <v>0</v>
      </c>
      <c r="R152" s="51">
        <v>0</v>
      </c>
      <c r="S152" s="51">
        <v>0</v>
      </c>
    </row>
    <row r="153" spans="4:19" x14ac:dyDescent="0.25">
      <c r="D153" s="10">
        <v>59</v>
      </c>
      <c r="E153" s="51">
        <v>0</v>
      </c>
      <c r="F153" s="51">
        <v>0</v>
      </c>
      <c r="G153" s="100">
        <v>0</v>
      </c>
      <c r="H153" s="100">
        <v>0</v>
      </c>
      <c r="I153" s="51">
        <v>0</v>
      </c>
      <c r="J153" s="51">
        <v>0</v>
      </c>
      <c r="K153" s="100">
        <v>0</v>
      </c>
      <c r="L153" s="100">
        <v>0</v>
      </c>
      <c r="M153" s="51">
        <v>0</v>
      </c>
      <c r="N153" s="51">
        <v>0</v>
      </c>
      <c r="O153" s="100">
        <v>0</v>
      </c>
      <c r="P153" s="100">
        <v>0</v>
      </c>
      <c r="R153" s="51">
        <v>0</v>
      </c>
      <c r="S153" s="51">
        <v>0</v>
      </c>
    </row>
    <row r="154" spans="4:19" x14ac:dyDescent="0.25">
      <c r="D154" s="10">
        <v>60</v>
      </c>
      <c r="E154" s="51">
        <v>0</v>
      </c>
      <c r="F154" s="51">
        <v>0</v>
      </c>
      <c r="G154" s="100">
        <v>0</v>
      </c>
      <c r="H154" s="100">
        <v>0</v>
      </c>
      <c r="I154" s="51">
        <v>0</v>
      </c>
      <c r="J154" s="51">
        <v>0</v>
      </c>
      <c r="K154" s="100">
        <v>0</v>
      </c>
      <c r="L154" s="100">
        <v>0</v>
      </c>
      <c r="M154" s="51">
        <v>0</v>
      </c>
      <c r="N154" s="51">
        <v>0</v>
      </c>
      <c r="O154" s="100">
        <v>0</v>
      </c>
      <c r="P154" s="100">
        <v>0</v>
      </c>
      <c r="R154" s="101">
        <v>0</v>
      </c>
      <c r="S154" s="101">
        <v>0</v>
      </c>
    </row>
    <row r="155" spans="4:19" x14ac:dyDescent="0.25">
      <c r="R155" s="102">
        <v>14030</v>
      </c>
      <c r="S155" s="102">
        <v>13230</v>
      </c>
    </row>
    <row r="157" spans="4:19" x14ac:dyDescent="0.25">
      <c r="E157" s="26"/>
      <c r="F157" s="26"/>
      <c r="G157" s="26"/>
      <c r="H157" s="26"/>
      <c r="I157" s="26"/>
      <c r="J157" s="26"/>
      <c r="K157" s="26"/>
      <c r="L157" s="26"/>
      <c r="M157" s="26"/>
      <c r="N157" s="26"/>
      <c r="O157" s="26"/>
      <c r="P157" s="26"/>
    </row>
  </sheetData>
  <mergeCells count="43">
    <mergeCell ref="A4:A5"/>
    <mergeCell ref="B4:B5"/>
    <mergeCell ref="R2:X2"/>
    <mergeCell ref="R3:X4"/>
    <mergeCell ref="R5:X13"/>
    <mergeCell ref="D93:D94"/>
    <mergeCell ref="D82:D83"/>
    <mergeCell ref="E82:F82"/>
    <mergeCell ref="G82:H82"/>
    <mergeCell ref="I82:J82"/>
    <mergeCell ref="E93:F93"/>
    <mergeCell ref="G93:H93"/>
    <mergeCell ref="D17:D18"/>
    <mergeCell ref="E17:E18"/>
    <mergeCell ref="F17:F18"/>
    <mergeCell ref="G17:G18"/>
    <mergeCell ref="H17:H18"/>
    <mergeCell ref="K93:L93"/>
    <mergeCell ref="O93:P93"/>
    <mergeCell ref="I93:J93"/>
    <mergeCell ref="N38:V38"/>
    <mergeCell ref="N39:V43"/>
    <mergeCell ref="O82:P82"/>
    <mergeCell ref="R93:S93"/>
    <mergeCell ref="M93:N93"/>
    <mergeCell ref="M82:N82"/>
    <mergeCell ref="K82:L82"/>
    <mergeCell ref="D3:N4"/>
    <mergeCell ref="N17:V17"/>
    <mergeCell ref="N31:V31"/>
    <mergeCell ref="N18:V22"/>
    <mergeCell ref="N32:V36"/>
    <mergeCell ref="N24:V24"/>
    <mergeCell ref="N25:V29"/>
    <mergeCell ref="D9:E9"/>
    <mergeCell ref="D11:E11"/>
    <mergeCell ref="D12:E12"/>
    <mergeCell ref="D13:E13"/>
    <mergeCell ref="D7:E7"/>
    <mergeCell ref="D8:E8"/>
    <mergeCell ref="D10:E10"/>
    <mergeCell ref="I17:J17"/>
    <mergeCell ref="K17:L17"/>
  </mergeCells>
  <pageMargins left="0.7" right="0.7" top="0.78740157499999996" bottom="0.78740157499999996"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1"/>
  <sheetViews>
    <sheetView workbookViewId="0">
      <selection activeCell="C4" sqref="C4"/>
    </sheetView>
  </sheetViews>
  <sheetFormatPr defaultColWidth="11.42578125" defaultRowHeight="15" x14ac:dyDescent="0.25"/>
  <cols>
    <col min="2" max="2" width="20.140625" customWidth="1"/>
    <col min="3" max="3" width="30.7109375" customWidth="1"/>
    <col min="4" max="4" width="6.28515625" customWidth="1"/>
  </cols>
  <sheetData>
    <row r="1" spans="1:5" x14ac:dyDescent="0.25">
      <c r="A1" t="s">
        <v>3</v>
      </c>
      <c r="B1" t="s">
        <v>8</v>
      </c>
      <c r="E1">
        <v>5000</v>
      </c>
    </row>
    <row r="2" spans="1:5" x14ac:dyDescent="0.25">
      <c r="A2" t="s">
        <v>3</v>
      </c>
      <c r="B2" t="s">
        <v>4</v>
      </c>
      <c r="C2" t="s">
        <v>13</v>
      </c>
      <c r="D2" s="8">
        <v>0</v>
      </c>
      <c r="E2">
        <v>5</v>
      </c>
    </row>
    <row r="3" spans="1:5" x14ac:dyDescent="0.25">
      <c r="A3" t="s">
        <v>3</v>
      </c>
      <c r="B3" t="s">
        <v>4</v>
      </c>
      <c r="C3" t="s">
        <v>14</v>
      </c>
      <c r="D3" s="8">
        <v>500</v>
      </c>
      <c r="E3">
        <v>2.5</v>
      </c>
    </row>
    <row r="4" spans="1:5" x14ac:dyDescent="0.25">
      <c r="A4" t="s">
        <v>0</v>
      </c>
      <c r="B4" t="s">
        <v>2</v>
      </c>
      <c r="C4" s="4" t="s">
        <v>5</v>
      </c>
      <c r="D4" s="7">
        <v>0</v>
      </c>
      <c r="E4">
        <v>25000</v>
      </c>
    </row>
    <row r="5" spans="1:5" x14ac:dyDescent="0.25">
      <c r="A5" t="s">
        <v>0</v>
      </c>
      <c r="B5" t="s">
        <v>2</v>
      </c>
      <c r="C5" s="4" t="s">
        <v>6</v>
      </c>
      <c r="D5" s="7">
        <v>100</v>
      </c>
      <c r="E5">
        <v>40000</v>
      </c>
    </row>
    <row r="6" spans="1:5" x14ac:dyDescent="0.25">
      <c r="A6" t="s">
        <v>0</v>
      </c>
      <c r="B6" t="s">
        <v>2</v>
      </c>
      <c r="C6" s="4" t="s">
        <v>12</v>
      </c>
      <c r="D6" s="7">
        <v>1000</v>
      </c>
      <c r="E6">
        <v>60000</v>
      </c>
    </row>
    <row r="7" spans="1:5" x14ac:dyDescent="0.25">
      <c r="A7" t="s">
        <v>0</v>
      </c>
      <c r="B7" t="s">
        <v>2</v>
      </c>
      <c r="C7" s="4" t="s">
        <v>11</v>
      </c>
      <c r="D7" s="7">
        <v>5000</v>
      </c>
      <c r="E7">
        <v>80000</v>
      </c>
    </row>
    <row r="8" spans="1:5" x14ac:dyDescent="0.25">
      <c r="A8" t="s">
        <v>0</v>
      </c>
      <c r="B8" t="s">
        <v>7</v>
      </c>
      <c r="E8" s="5">
        <v>0.15</v>
      </c>
    </row>
    <row r="9" spans="1:5" x14ac:dyDescent="0.25">
      <c r="A9" t="s">
        <v>0</v>
      </c>
      <c r="B9" t="s">
        <v>8</v>
      </c>
      <c r="C9" t="s">
        <v>1</v>
      </c>
      <c r="E9">
        <v>10000</v>
      </c>
    </row>
    <row r="10" spans="1:5" x14ac:dyDescent="0.25">
      <c r="A10" t="s">
        <v>0</v>
      </c>
      <c r="B10" t="s">
        <v>8</v>
      </c>
      <c r="C10" t="s">
        <v>9</v>
      </c>
      <c r="E10">
        <v>20000</v>
      </c>
    </row>
    <row r="11" spans="1:5" x14ac:dyDescent="0.25">
      <c r="A11" t="s">
        <v>0</v>
      </c>
      <c r="B11" t="s">
        <v>8</v>
      </c>
      <c r="C11" t="s">
        <v>10</v>
      </c>
      <c r="E11">
        <v>40000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Charts</vt:lpstr>
      </vt:variant>
      <vt:variant>
        <vt:i4>1</vt:i4>
      </vt:variant>
    </vt:vector>
  </HeadingPairs>
  <TitlesOfParts>
    <vt:vector size="4" baseType="lpstr">
      <vt:lpstr>1. Posting Steps</vt:lpstr>
      <vt:lpstr>2. Template</vt:lpstr>
      <vt:lpstr>Daten</vt:lpstr>
      <vt:lpstr>Chart1</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2021-06-28T18:36:49Z</dcterms:modified>
</cp:coreProperties>
</file>